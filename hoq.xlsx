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25F545E-06F1-4AD7-9E18-541AFA15904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use of Quality" sheetId="1" r:id="rId1"/>
  </sheets>
  <calcPr calcId="181029"/>
</workbook>
</file>

<file path=xl/calcChain.xml><?xml version="1.0" encoding="utf-8"?>
<calcChain xmlns="http://schemas.openxmlformats.org/spreadsheetml/2006/main">
  <c r="G59" i="1" l="1"/>
  <c r="G58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42" i="1"/>
  <c r="K59" i="1"/>
  <c r="O59" i="1"/>
  <c r="S59" i="1"/>
  <c r="W59" i="1"/>
  <c r="AA59" i="1"/>
  <c r="AE59" i="1"/>
  <c r="AI59" i="1"/>
  <c r="AM59" i="1"/>
  <c r="AQ59" i="1"/>
  <c r="AU59" i="1"/>
  <c r="AY59" i="1"/>
  <c r="BC59" i="1"/>
  <c r="BG59" i="1"/>
  <c r="BK59" i="1"/>
  <c r="BO59" i="1"/>
  <c r="BO58" i="1"/>
  <c r="BK58" i="1"/>
  <c r="BG58" i="1"/>
  <c r="BC58" i="1"/>
  <c r="AY58" i="1"/>
  <c r="AU58" i="1"/>
  <c r="AQ58" i="1"/>
  <c r="AM58" i="1"/>
  <c r="AI58" i="1"/>
  <c r="AE58" i="1"/>
  <c r="AA58" i="1"/>
  <c r="W58" i="1"/>
  <c r="S58" i="1"/>
  <c r="O58" i="1"/>
  <c r="K58" i="1"/>
</calcChain>
</file>

<file path=xl/sharedStrings.xml><?xml version="1.0" encoding="utf-8"?>
<sst xmlns="http://schemas.openxmlformats.org/spreadsheetml/2006/main" count="133" uniqueCount="77">
  <si>
    <t>Dirección de mejora</t>
  </si>
  <si>
    <t>▲</t>
  </si>
  <si>
    <t>▼</t>
  </si>
  <si>
    <t>QFD: House of Quality</t>
  </si>
  <si>
    <t>Fecha</t>
  </si>
  <si>
    <t>Correlaciones</t>
  </si>
  <si>
    <t>Positiva</t>
  </si>
  <si>
    <t>+</t>
  </si>
  <si>
    <t>Negativa</t>
  </si>
  <si>
    <t>−</t>
  </si>
  <si>
    <t>Sin Correlación</t>
  </si>
  <si>
    <t>Relación</t>
  </si>
  <si>
    <t>Fuerte</t>
  </si>
  <si>
    <t>●</t>
  </si>
  <si>
    <t>Moderada</t>
  </si>
  <si>
    <t>○</t>
  </si>
  <si>
    <t>Débil</t>
  </si>
  <si>
    <t>▽</t>
  </si>
  <si>
    <t>Maximizar</t>
  </si>
  <si>
    <t>Target</t>
  </si>
  <si>
    <t>◇</t>
  </si>
  <si>
    <t>Minimizar</t>
  </si>
  <si>
    <t xml:space="preserve">Columna #   </t>
  </si>
  <si>
    <t xml:space="preserve">   Fila #</t>
  </si>
  <si>
    <t>Peso relativo</t>
  </si>
  <si>
    <t>Importancia</t>
  </si>
  <si>
    <t xml:space="preserve">Revisión: </t>
  </si>
  <si>
    <t>Ranking</t>
  </si>
  <si>
    <t>Puntaje</t>
  </si>
  <si>
    <t>Características de ingeniería</t>
  </si>
  <si>
    <t>Requerimientos del cliente/ USUARIO</t>
  </si>
  <si>
    <t>Unidad de medida</t>
  </si>
  <si>
    <t>Peso Relativo</t>
  </si>
  <si>
    <t>Resistencia Mecánica</t>
  </si>
  <si>
    <t>Duracion de batería</t>
  </si>
  <si>
    <t>Fuerza cerradura</t>
  </si>
  <si>
    <t>Rango calibre</t>
  </si>
  <si>
    <t>Sensibilidad sensor</t>
  </si>
  <si>
    <t>Tiempo ciclo</t>
  </si>
  <si>
    <t>Intensidad señal</t>
  </si>
  <si>
    <t>Capacidad memoria</t>
  </si>
  <si>
    <t>Exactitud conteo</t>
  </si>
  <si>
    <t>Volumen total</t>
  </si>
  <si>
    <t>Frecuencia reporte</t>
  </si>
  <si>
    <t>Intensidad lumínica</t>
  </si>
  <si>
    <t>Tiempo de carga</t>
  </si>
  <si>
    <t>Num Compartimentos</t>
  </si>
  <si>
    <t>Presición tiempo</t>
  </si>
  <si>
    <t xml:space="preserve"> Intensidad Alarma</t>
  </si>
  <si>
    <t>El dispositivo debe entregar la pastilla correcta en el momento correcto.</t>
  </si>
  <si>
    <t>El usuario debe entender claramente cuándo tomar su medicamento.</t>
  </si>
  <si>
    <t>El usuario debe sentirse seguro usando el dispositivo.</t>
  </si>
  <si>
    <t>El usuario debe poder confiar en que el dispositivo no fallará sin avisar.</t>
  </si>
  <si>
    <t>El dispositivo debe proteger sus medicamentos y su información personal.</t>
  </si>
  <si>
    <t>El mecanismo debe ser compatible con diversos tamaños de pastillas</t>
  </si>
  <si>
    <t>El dispositivo tiene confirmación de retiro (o no retiro)</t>
  </si>
  <si>
    <t>Mientras más fácil y rápido sea tomar el medicamento, mejor.</t>
  </si>
  <si>
    <t>Mientras más claros sean los avisos (visual/sonoro), más cómodo me siento.</t>
  </si>
  <si>
    <t>Mientras menos intervención de terceros requiera, 
mejor experiencia tengo.</t>
  </si>
  <si>
    <t>El diseño exterior debe ser discreto</t>
  </si>
  <si>
    <t>s</t>
  </si>
  <si>
    <t>Error 
Max</t>
  </si>
  <si>
    <t>dB</t>
  </si>
  <si>
    <t>J</t>
  </si>
  <si>
    <t>días</t>
  </si>
  <si>
    <t>N</t>
  </si>
  <si>
    <t>mm</t>
  </si>
  <si>
    <t>%error</t>
  </si>
  <si>
    <t>mm^3</t>
  </si>
  <si>
    <t>día</t>
  </si>
  <si>
    <t>lm</t>
  </si>
  <si>
    <t>El dispositivo debe notificar al usuario el nivel bajo de inventario para anticipar la compra de medicamento.</t>
  </si>
  <si>
    <t>Mientras menos tenga que recordar horarios, más valoro el producto.</t>
  </si>
  <si>
    <t>El sistema avisa a mi doctor sin que yo tenga que explicar todo.</t>
  </si>
  <si>
    <t>El sistema me permite ver mi progreso de forma sencilla.</t>
  </si>
  <si>
    <t>El dispensador debe contar con iluminación nocturna tenue.</t>
  </si>
  <si>
    <t># alarma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</si>
</sst>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0"/>
      <color theme="1"/>
      <name val="Century Schoolbook"/>
      <family val="2"/>
    </font>
    <font>
      <sz val="10"/>
      <color theme="1"/>
      <name val="Century Schoolbook"/>
      <family val="2"/>
    </font>
    <font>
      <sz val="14"/>
      <color theme="1"/>
      <name val="Bahnschrift Light"/>
      <family val="2"/>
    </font>
    <font>
      <b/>
      <sz val="14"/>
      <color theme="1"/>
      <name val="Bahnschrift Light"/>
      <family val="2"/>
    </font>
    <font>
      <sz val="14"/>
      <color theme="0"/>
      <name val="Bahnschrift Light"/>
      <family val="2"/>
    </font>
    <font>
      <sz val="16"/>
      <color theme="0"/>
      <name val="Arial"/>
      <family val="2"/>
    </font>
    <font>
      <sz val="14"/>
      <color theme="0"/>
      <name val="Arial"/>
      <family val="2"/>
    </font>
    <font>
      <sz val="12"/>
      <color theme="0"/>
      <name val="Arial"/>
      <family val="2"/>
    </font>
    <font>
      <b/>
      <sz val="14"/>
      <color rgb="FFFF0000"/>
      <name val="Bahnschrift Light"/>
      <family val="2"/>
    </font>
    <font>
      <sz val="18"/>
      <color theme="1"/>
      <name val="Century Schoolbook"/>
      <family val="2"/>
    </font>
    <font>
      <sz val="18"/>
      <name val="Bahnschrift Light"/>
      <family val="2"/>
    </font>
    <font>
      <sz val="18"/>
      <color theme="1"/>
      <name val="Bahnschrift Light"/>
      <family val="2"/>
    </font>
    <font>
      <sz val="10"/>
      <color theme="1"/>
      <name val="Arial"/>
      <family val="2"/>
    </font>
    <font>
      <sz val="12"/>
      <color theme="1"/>
      <name val="Bahnschrift Light"/>
      <family val="2"/>
    </font>
    <font>
      <sz val="11"/>
      <color theme="1"/>
      <name val="Bahnschrift Light"/>
      <family val="2"/>
    </font>
    <font>
      <b/>
      <sz val="16"/>
      <color rgb="FFFF0000"/>
      <name val="Bahnschrift Light"/>
      <family val="2"/>
    </font>
    <font>
      <sz val="8"/>
      <color theme="1"/>
      <name val="Bahnschrift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/>
      <right/>
      <top/>
      <bottom/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2" fillId="2" borderId="5" xfId="0" applyFont="1" applyFill="1" applyBorder="1"/>
    <xf numFmtId="0" fontId="2" fillId="2" borderId="2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9" fontId="2" fillId="2" borderId="0" xfId="1" applyFont="1" applyFill="1"/>
    <xf numFmtId="0" fontId="2" fillId="5" borderId="0" xfId="0" applyFont="1" applyFill="1"/>
    <xf numFmtId="0" fontId="2" fillId="5" borderId="0" xfId="0" applyFont="1" applyFill="1" applyAlignment="1">
      <alignment horizontal="left" vertical="center"/>
    </xf>
    <xf numFmtId="0" fontId="2" fillId="5" borderId="17" xfId="0" applyFont="1" applyFill="1" applyBorder="1"/>
    <xf numFmtId="0" fontId="2" fillId="5" borderId="18" xfId="0" applyFont="1" applyFill="1" applyBorder="1"/>
    <xf numFmtId="0" fontId="2" fillId="5" borderId="19" xfId="0" applyFont="1" applyFill="1" applyBorder="1"/>
    <xf numFmtId="0" fontId="3" fillId="5" borderId="0" xfId="0" applyFont="1" applyFill="1"/>
    <xf numFmtId="0" fontId="3" fillId="5" borderId="0" xfId="0" applyFont="1" applyFill="1" applyAlignment="1">
      <alignment horizontal="left" vertical="center"/>
    </xf>
    <xf numFmtId="0" fontId="3" fillId="5" borderId="20" xfId="0" applyFont="1" applyFill="1" applyBorder="1"/>
    <xf numFmtId="0" fontId="3" fillId="5" borderId="21" xfId="0" applyFont="1" applyFill="1" applyBorder="1"/>
    <xf numFmtId="0" fontId="3" fillId="5" borderId="21" xfId="0" applyFont="1" applyFill="1" applyBorder="1" applyAlignment="1">
      <alignment horizontal="left" vertical="center"/>
    </xf>
    <xf numFmtId="0" fontId="3" fillId="5" borderId="22" xfId="0" applyFont="1" applyFill="1" applyBorder="1"/>
    <xf numFmtId="0" fontId="3" fillId="5" borderId="23" xfId="0" applyFont="1" applyFill="1" applyBorder="1"/>
    <xf numFmtId="0" fontId="3" fillId="5" borderId="24" xfId="0" applyFont="1" applyFill="1" applyBorder="1"/>
    <xf numFmtId="0" fontId="3" fillId="5" borderId="24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0" xfId="0" applyFont="1" applyFill="1"/>
    <xf numFmtId="0" fontId="7" fillId="6" borderId="15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 vertical="center" textRotation="90" wrapText="1"/>
    </xf>
    <xf numFmtId="0" fontId="7" fillId="6" borderId="8" xfId="0" applyFont="1" applyFill="1" applyBorder="1" applyAlignment="1">
      <alignment horizontal="center" wrapText="1"/>
    </xf>
    <xf numFmtId="0" fontId="7" fillId="6" borderId="10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textRotation="90"/>
    </xf>
    <xf numFmtId="0" fontId="8" fillId="3" borderId="7" xfId="0" applyFont="1" applyFill="1" applyBorder="1" applyAlignment="1">
      <alignment horizontal="center" textRotation="90"/>
    </xf>
    <xf numFmtId="0" fontId="8" fillId="3" borderId="4" xfId="0" applyFont="1" applyFill="1" applyBorder="1" applyAlignment="1">
      <alignment horizontal="center" textRotation="90"/>
    </xf>
    <xf numFmtId="0" fontId="12" fillId="0" borderId="0" xfId="0" applyFont="1"/>
    <xf numFmtId="0" fontId="2" fillId="5" borderId="1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2" fillId="5" borderId="8" xfId="0" applyFont="1" applyFill="1" applyBorder="1" applyAlignment="1">
      <alignment horizontal="right" vertical="center"/>
    </xf>
    <xf numFmtId="0" fontId="2" fillId="5" borderId="6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/>
    </xf>
    <xf numFmtId="9" fontId="6" fillId="6" borderId="1" xfId="1" applyFont="1" applyFill="1" applyBorder="1" applyAlignment="1">
      <alignment horizontal="right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textRotation="90"/>
    </xf>
    <xf numFmtId="0" fontId="9" fillId="0" borderId="25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2" fillId="0" borderId="14" xfId="0" applyFont="1" applyBorder="1" applyAlignment="1">
      <alignment horizontal="center" vertical="center" textRotation="90" wrapText="1"/>
    </xf>
    <xf numFmtId="0" fontId="2" fillId="0" borderId="16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32" xfId="0" applyFont="1" applyBorder="1" applyAlignment="1">
      <alignment horizontal="center" vertical="center" textRotation="90" wrapText="1"/>
    </xf>
    <xf numFmtId="0" fontId="2" fillId="0" borderId="24" xfId="0" applyFont="1" applyBorder="1" applyAlignment="1">
      <alignment horizontal="center" vertical="center" textRotation="90" wrapText="1"/>
    </xf>
    <xf numFmtId="0" fontId="2" fillId="0" borderId="33" xfId="0" applyFont="1" applyBorder="1" applyAlignment="1">
      <alignment horizontal="center" vertical="center" textRotation="90" wrapText="1"/>
    </xf>
    <xf numFmtId="0" fontId="9" fillId="0" borderId="2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164" fontId="14" fillId="3" borderId="3" xfId="1" applyNumberFormat="1" applyFont="1" applyFill="1" applyBorder="1" applyAlignment="1">
      <alignment horizontal="center" vertical="center"/>
    </xf>
    <xf numFmtId="164" fontId="14" fillId="3" borderId="7" xfId="1" applyNumberFormat="1" applyFont="1" applyFill="1" applyBorder="1" applyAlignment="1">
      <alignment horizontal="center" vertical="center"/>
    </xf>
    <xf numFmtId="164" fontId="14" fillId="3" borderId="4" xfId="1" applyNumberFormat="1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textRotation="90"/>
    </xf>
    <xf numFmtId="0" fontId="15" fillId="3" borderId="3" xfId="0" applyFont="1" applyFill="1" applyBorder="1" applyAlignment="1">
      <alignment horizontal="center" textRotation="90"/>
    </xf>
    <xf numFmtId="0" fontId="15" fillId="3" borderId="4" xfId="0" applyFont="1" applyFill="1" applyBorder="1" applyAlignment="1">
      <alignment horizontal="center" textRotation="90"/>
    </xf>
    <xf numFmtId="0" fontId="8" fillId="3" borderId="7" xfId="0" applyFont="1" applyFill="1" applyBorder="1" applyAlignment="1">
      <alignment horizontal="center" textRotation="90"/>
    </xf>
    <xf numFmtId="0" fontId="8" fillId="3" borderId="3" xfId="0" applyFont="1" applyFill="1" applyBorder="1" applyAlignment="1">
      <alignment horizontal="center" textRotation="90"/>
    </xf>
    <xf numFmtId="0" fontId="8" fillId="3" borderId="4" xfId="0" applyFont="1" applyFill="1" applyBorder="1" applyAlignment="1">
      <alignment horizontal="center" textRotation="90"/>
    </xf>
    <xf numFmtId="0" fontId="2" fillId="2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1">
    <dxf>
      <font>
        <color auto="1"/>
      </font>
      <fill>
        <gradientFill type="path" left="0.5" right="0.5" top="0.5" bottom="0.5">
          <stop position="0">
            <color rgb="FFFFC000"/>
          </stop>
          <stop position="1">
            <color theme="0"/>
          </stop>
        </gradientFill>
      </fill>
    </dxf>
  </dxfs>
  <tableStyles count="0" defaultTableStyle="TableStyleMedium9" defaultPivotStyle="PivotStyleLight16"/>
  <colors>
    <mruColors>
      <color rgb="FFFF9900"/>
      <color rgb="FF00CC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CN68"/>
  <sheetViews>
    <sheetView tabSelected="1" topLeftCell="A23" zoomScale="55" zoomScaleNormal="55" workbookViewId="0">
      <selection activeCell="BS18" sqref="BS18"/>
    </sheetView>
  </sheetViews>
  <sheetFormatPr baseColWidth="10" defaultColWidth="9.140625" defaultRowHeight="18" x14ac:dyDescent="0.25"/>
  <cols>
    <col min="1" max="1" width="9.140625" style="1"/>
    <col min="2" max="2" width="5" style="1" customWidth="1"/>
    <col min="3" max="3" width="12.85546875" style="1" customWidth="1"/>
    <col min="4" max="4" width="10.7109375" style="1" customWidth="1"/>
    <col min="5" max="6" width="22.42578125" style="1" customWidth="1"/>
    <col min="7" max="70" width="2" style="1" customWidth="1"/>
    <col min="71" max="71" width="9.140625" style="1" customWidth="1"/>
    <col min="72" max="16384" width="9.140625" style="1"/>
  </cols>
  <sheetData>
    <row r="1" spans="10:77" x14ac:dyDescent="0.25">
      <c r="BV1" s="17" t="s">
        <v>3</v>
      </c>
      <c r="BW1" s="18"/>
      <c r="BX1" s="19"/>
      <c r="BY1" s="12"/>
    </row>
    <row r="2" spans="10:77" x14ac:dyDescent="0.25">
      <c r="BV2" s="20"/>
      <c r="BW2" s="15"/>
      <c r="BX2" s="16"/>
      <c r="BY2" s="13"/>
    </row>
    <row r="3" spans="10:77" x14ac:dyDescent="0.25">
      <c r="BV3" s="20" t="s">
        <v>26</v>
      </c>
      <c r="BW3" s="15"/>
      <c r="BX3" s="16"/>
      <c r="BY3" s="13"/>
    </row>
    <row r="4" spans="10:77" ht="18.75" thickBot="1" x14ac:dyDescent="0.3">
      <c r="BV4" s="21" t="s">
        <v>4</v>
      </c>
      <c r="BW4" s="22"/>
      <c r="BX4" s="23"/>
      <c r="BY4" s="14"/>
    </row>
    <row r="5" spans="10:77" ht="9.9499999999999993" customHeight="1" x14ac:dyDescent="0.25">
      <c r="AL5" s="3"/>
      <c r="AM5" s="4"/>
      <c r="BX5" s="2"/>
    </row>
    <row r="6" spans="10:77" ht="9.9499999999999993" customHeight="1" x14ac:dyDescent="0.25"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6"/>
      <c r="AL6" s="84"/>
      <c r="AM6" s="84"/>
      <c r="AN6" s="7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X6" s="2"/>
    </row>
    <row r="7" spans="10:77" ht="9.9499999999999993" customHeight="1" x14ac:dyDescent="0.25"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6"/>
      <c r="AK7" s="7"/>
      <c r="AL7" s="84"/>
      <c r="AM7" s="84"/>
      <c r="AN7" s="6"/>
      <c r="AO7" s="7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X7" s="2"/>
    </row>
    <row r="8" spans="10:77" ht="9.9499999999999993" customHeight="1" x14ac:dyDescent="0.25"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6"/>
      <c r="AJ8" s="84"/>
      <c r="AK8" s="84"/>
      <c r="AL8" s="7"/>
      <c r="AM8" s="6"/>
      <c r="AN8" s="84"/>
      <c r="AO8" s="84"/>
      <c r="AP8" s="7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X8" s="2"/>
    </row>
    <row r="9" spans="10:77" ht="9.9499999999999993" customHeight="1" x14ac:dyDescent="0.25"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6"/>
      <c r="AI9" s="7"/>
      <c r="AJ9" s="84"/>
      <c r="AK9" s="84"/>
      <c r="AL9" s="6"/>
      <c r="AM9" s="7"/>
      <c r="AN9" s="84"/>
      <c r="AO9" s="84"/>
      <c r="AP9" s="6"/>
      <c r="AQ9" s="7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V9" s="50" t="s">
        <v>5</v>
      </c>
      <c r="BW9" s="51"/>
      <c r="BX9" s="51"/>
      <c r="BY9" s="52"/>
    </row>
    <row r="10" spans="10:77" ht="9.9499999999999993" customHeight="1" x14ac:dyDescent="0.25"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6"/>
      <c r="AH10" s="84"/>
      <c r="AI10" s="84"/>
      <c r="AJ10" s="7"/>
      <c r="AK10" s="6"/>
      <c r="AL10" s="84"/>
      <c r="AM10" s="84"/>
      <c r="AN10" s="7"/>
      <c r="AO10" s="6"/>
      <c r="AP10" s="84"/>
      <c r="AQ10" s="84"/>
      <c r="AR10" s="7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V10" s="53"/>
      <c r="BW10" s="54"/>
      <c r="BX10" s="54"/>
      <c r="BY10" s="55"/>
    </row>
    <row r="11" spans="10:77" ht="9.9499999999999993" customHeight="1" x14ac:dyDescent="0.25"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6"/>
      <c r="AG11" s="7"/>
      <c r="AH11" s="84"/>
      <c r="AI11" s="84"/>
      <c r="AJ11" s="6"/>
      <c r="AK11" s="7"/>
      <c r="AL11" s="84"/>
      <c r="AM11" s="84"/>
      <c r="AN11" s="6"/>
      <c r="AO11" s="7"/>
      <c r="AP11" s="84"/>
      <c r="AQ11" s="84"/>
      <c r="AR11" s="6"/>
      <c r="AS11" s="7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V11" s="40" t="s">
        <v>6</v>
      </c>
      <c r="BW11" s="41"/>
      <c r="BX11" s="41"/>
      <c r="BY11" s="38" t="s">
        <v>7</v>
      </c>
    </row>
    <row r="12" spans="10:77" ht="9.9499999999999993" customHeight="1" x14ac:dyDescent="0.25"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6"/>
      <c r="AF12" s="84" t="s">
        <v>7</v>
      </c>
      <c r="AG12" s="84"/>
      <c r="AH12" s="7"/>
      <c r="AI12" s="6"/>
      <c r="AJ12" s="84" t="s">
        <v>7</v>
      </c>
      <c r="AK12" s="84"/>
      <c r="AL12" s="7"/>
      <c r="AM12" s="6"/>
      <c r="AN12" s="84"/>
      <c r="AO12" s="84"/>
      <c r="AP12" s="7"/>
      <c r="AQ12" s="6"/>
      <c r="AR12" s="84"/>
      <c r="AS12" s="84"/>
      <c r="AT12" s="7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V12" s="40"/>
      <c r="BW12" s="41"/>
      <c r="BX12" s="41"/>
      <c r="BY12" s="38"/>
    </row>
    <row r="13" spans="10:77" ht="9.9499999999999993" customHeight="1" x14ac:dyDescent="0.25"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6"/>
      <c r="AE13" s="7"/>
      <c r="AF13" s="84"/>
      <c r="AG13" s="84"/>
      <c r="AH13" s="6"/>
      <c r="AI13" s="7"/>
      <c r="AJ13" s="84"/>
      <c r="AK13" s="84"/>
      <c r="AL13" s="6"/>
      <c r="AM13" s="7"/>
      <c r="AN13" s="84"/>
      <c r="AO13" s="84"/>
      <c r="AP13" s="6"/>
      <c r="AQ13" s="7"/>
      <c r="AR13" s="84"/>
      <c r="AS13" s="84"/>
      <c r="AT13" s="6"/>
      <c r="AU13" s="7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V13" s="40" t="s">
        <v>8</v>
      </c>
      <c r="BW13" s="41"/>
      <c r="BX13" s="41"/>
      <c r="BY13" s="38" t="s">
        <v>9</v>
      </c>
    </row>
    <row r="14" spans="10:77" ht="9.9499999999999993" customHeight="1" x14ac:dyDescent="0.25"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6"/>
      <c r="AD14" s="84"/>
      <c r="AE14" s="84"/>
      <c r="AF14" s="7"/>
      <c r="AG14" s="6"/>
      <c r="AH14" s="84"/>
      <c r="AI14" s="84"/>
      <c r="AJ14" s="7"/>
      <c r="AK14" s="6"/>
      <c r="AL14" s="84"/>
      <c r="AM14" s="84"/>
      <c r="AN14" s="7"/>
      <c r="AO14" s="6"/>
      <c r="AP14" s="84" t="s">
        <v>9</v>
      </c>
      <c r="AQ14" s="84"/>
      <c r="AR14" s="7"/>
      <c r="AS14" s="6"/>
      <c r="AT14" s="84"/>
      <c r="AU14" s="84"/>
      <c r="AV14" s="7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V14" s="40"/>
      <c r="BW14" s="41"/>
      <c r="BX14" s="41"/>
      <c r="BY14" s="38"/>
    </row>
    <row r="15" spans="10:77" ht="9.9499999999999993" customHeight="1" x14ac:dyDescent="0.25"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6"/>
      <c r="AC15" s="7"/>
      <c r="AD15" s="84"/>
      <c r="AE15" s="84"/>
      <c r="AF15" s="6"/>
      <c r="AG15" s="7"/>
      <c r="AH15" s="84"/>
      <c r="AI15" s="84"/>
      <c r="AJ15" s="6"/>
      <c r="AK15" s="7"/>
      <c r="AL15" s="84"/>
      <c r="AM15" s="84"/>
      <c r="AN15" s="6"/>
      <c r="AO15" s="7"/>
      <c r="AP15" s="84"/>
      <c r="AQ15" s="84"/>
      <c r="AR15" s="6"/>
      <c r="AS15" s="7"/>
      <c r="AT15" s="84"/>
      <c r="AU15" s="84"/>
      <c r="AV15" s="6"/>
      <c r="AW15" s="7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V15" s="40" t="s">
        <v>10</v>
      </c>
      <c r="BW15" s="41"/>
      <c r="BX15" s="41"/>
      <c r="BY15" s="38"/>
    </row>
    <row r="16" spans="10:77" ht="9.9499999999999993" customHeight="1" x14ac:dyDescent="0.25"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6"/>
      <c r="AB16" s="84"/>
      <c r="AC16" s="84"/>
      <c r="AD16" s="7"/>
      <c r="AE16" s="6"/>
      <c r="AF16" s="84"/>
      <c r="AG16" s="84"/>
      <c r="AH16" s="7"/>
      <c r="AI16" s="6"/>
      <c r="AJ16" s="84"/>
      <c r="AK16" s="84"/>
      <c r="AL16" s="7"/>
      <c r="AM16" s="6"/>
      <c r="AN16" s="84" t="s">
        <v>9</v>
      </c>
      <c r="AO16" s="84"/>
      <c r="AP16" s="7"/>
      <c r="AQ16" s="6"/>
      <c r="AR16" s="84"/>
      <c r="AS16" s="84"/>
      <c r="AT16" s="7"/>
      <c r="AU16" s="6"/>
      <c r="AV16" s="84" t="s">
        <v>9</v>
      </c>
      <c r="AW16" s="84"/>
      <c r="AX16" s="7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V16" s="42"/>
      <c r="BW16" s="43"/>
      <c r="BX16" s="43"/>
      <c r="BY16" s="39"/>
    </row>
    <row r="17" spans="10:77" ht="9.9499999999999993" customHeight="1" x14ac:dyDescent="0.25"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  <c r="AA17" s="7"/>
      <c r="AB17" s="84"/>
      <c r="AC17" s="84"/>
      <c r="AD17" s="6"/>
      <c r="AE17" s="7"/>
      <c r="AF17" s="84"/>
      <c r="AG17" s="84"/>
      <c r="AH17" s="6"/>
      <c r="AI17" s="7"/>
      <c r="AJ17" s="84"/>
      <c r="AK17" s="84"/>
      <c r="AL17" s="6"/>
      <c r="AM17" s="7"/>
      <c r="AN17" s="84"/>
      <c r="AO17" s="84"/>
      <c r="AP17" s="6"/>
      <c r="AQ17" s="7"/>
      <c r="AR17" s="84"/>
      <c r="AS17" s="84"/>
      <c r="AT17" s="6"/>
      <c r="AU17" s="7"/>
      <c r="AV17" s="84"/>
      <c r="AW17" s="84"/>
      <c r="AX17" s="6"/>
      <c r="AY17" s="7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V17" s="10"/>
      <c r="BW17" s="10"/>
      <c r="BX17" s="11"/>
      <c r="BY17" s="10"/>
    </row>
    <row r="18" spans="10:77" ht="9.9499999999999993" customHeight="1" x14ac:dyDescent="0.25"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6"/>
      <c r="Z18" s="84" t="s">
        <v>7</v>
      </c>
      <c r="AA18" s="84"/>
      <c r="AB18" s="7"/>
      <c r="AC18" s="6"/>
      <c r="AD18" s="84"/>
      <c r="AE18" s="84"/>
      <c r="AF18" s="7"/>
      <c r="AG18" s="6"/>
      <c r="AH18" s="84" t="s">
        <v>9</v>
      </c>
      <c r="AI18" s="84"/>
      <c r="AJ18" s="7"/>
      <c r="AK18" s="6"/>
      <c r="AL18" s="84" t="s">
        <v>9</v>
      </c>
      <c r="AM18" s="84"/>
      <c r="AN18" s="7"/>
      <c r="AO18" s="6"/>
      <c r="AP18" s="84"/>
      <c r="AQ18" s="84"/>
      <c r="AR18" s="7"/>
      <c r="AS18" s="6"/>
      <c r="AT18" s="84"/>
      <c r="AU18" s="84"/>
      <c r="AV18" s="7"/>
      <c r="AW18" s="6"/>
      <c r="AX18" s="84"/>
      <c r="AY18" s="84"/>
      <c r="AZ18" s="7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V18" s="50" t="s">
        <v>11</v>
      </c>
      <c r="BW18" s="51"/>
      <c r="BX18" s="51"/>
      <c r="BY18" s="52"/>
    </row>
    <row r="19" spans="10:77" ht="9.9499999999999993" customHeight="1" x14ac:dyDescent="0.25"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6"/>
      <c r="Y19" s="7"/>
      <c r="Z19" s="84"/>
      <c r="AA19" s="84"/>
      <c r="AB19" s="6"/>
      <c r="AC19" s="7"/>
      <c r="AD19" s="84"/>
      <c r="AE19" s="84"/>
      <c r="AF19" s="6"/>
      <c r="AG19" s="7"/>
      <c r="AH19" s="84"/>
      <c r="AI19" s="84"/>
      <c r="AJ19" s="6"/>
      <c r="AK19" s="7"/>
      <c r="AL19" s="84"/>
      <c r="AM19" s="84"/>
      <c r="AN19" s="6"/>
      <c r="AO19" s="7"/>
      <c r="AP19" s="84"/>
      <c r="AQ19" s="84"/>
      <c r="AR19" s="6"/>
      <c r="AS19" s="7"/>
      <c r="AT19" s="84"/>
      <c r="AU19" s="84"/>
      <c r="AV19" s="6"/>
      <c r="AW19" s="7"/>
      <c r="AX19" s="84"/>
      <c r="AY19" s="84"/>
      <c r="AZ19" s="6"/>
      <c r="BA19" s="7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V19" s="53"/>
      <c r="BW19" s="54"/>
      <c r="BX19" s="54"/>
      <c r="BY19" s="55"/>
    </row>
    <row r="20" spans="10:77" ht="9.9499999999999993" customHeight="1" x14ac:dyDescent="0.25"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6"/>
      <c r="X20" s="84"/>
      <c r="Y20" s="84"/>
      <c r="Z20" s="7"/>
      <c r="AA20" s="6"/>
      <c r="AB20" s="84"/>
      <c r="AC20" s="84"/>
      <c r="AD20" s="7"/>
      <c r="AE20" s="6"/>
      <c r="AF20" s="84"/>
      <c r="AG20" s="84"/>
      <c r="AH20" s="7"/>
      <c r="AI20" s="6"/>
      <c r="AJ20" s="84" t="s">
        <v>9</v>
      </c>
      <c r="AK20" s="84"/>
      <c r="AL20" s="7"/>
      <c r="AM20" s="6"/>
      <c r="AN20" s="84"/>
      <c r="AO20" s="84"/>
      <c r="AP20" s="7"/>
      <c r="AQ20" s="6"/>
      <c r="AR20" s="84"/>
      <c r="AS20" s="84"/>
      <c r="AT20" s="7"/>
      <c r="AU20" s="6"/>
      <c r="AV20" s="84"/>
      <c r="AW20" s="84"/>
      <c r="AX20" s="7"/>
      <c r="AY20" s="6"/>
      <c r="AZ20" s="84"/>
      <c r="BA20" s="84"/>
      <c r="BB20" s="7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V20" s="40" t="s">
        <v>12</v>
      </c>
      <c r="BW20" s="41"/>
      <c r="BX20" s="41"/>
      <c r="BY20" s="38" t="s">
        <v>13</v>
      </c>
    </row>
    <row r="21" spans="10:77" ht="9.9499999999999993" customHeight="1" x14ac:dyDescent="0.25"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6"/>
      <c r="W21" s="7"/>
      <c r="X21" s="84"/>
      <c r="Y21" s="84"/>
      <c r="Z21" s="6"/>
      <c r="AA21" s="7"/>
      <c r="AB21" s="84"/>
      <c r="AC21" s="84"/>
      <c r="AD21" s="6"/>
      <c r="AE21" s="7"/>
      <c r="AF21" s="84"/>
      <c r="AG21" s="84"/>
      <c r="AH21" s="6"/>
      <c r="AI21" s="7"/>
      <c r="AJ21" s="84"/>
      <c r="AK21" s="84"/>
      <c r="AL21" s="6"/>
      <c r="AM21" s="7"/>
      <c r="AN21" s="84"/>
      <c r="AO21" s="84"/>
      <c r="AP21" s="6"/>
      <c r="AQ21" s="7"/>
      <c r="AR21" s="84"/>
      <c r="AS21" s="84"/>
      <c r="AT21" s="6"/>
      <c r="AU21" s="7"/>
      <c r="AV21" s="84"/>
      <c r="AW21" s="84"/>
      <c r="AX21" s="6"/>
      <c r="AY21" s="7"/>
      <c r="AZ21" s="84"/>
      <c r="BA21" s="84"/>
      <c r="BB21" s="6"/>
      <c r="BC21" s="7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V21" s="40"/>
      <c r="BW21" s="41"/>
      <c r="BX21" s="41"/>
      <c r="BY21" s="38"/>
    </row>
    <row r="22" spans="10:77" ht="9.9499999999999993" customHeight="1" x14ac:dyDescent="0.25"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6"/>
      <c r="V22" s="84"/>
      <c r="W22" s="84"/>
      <c r="X22" s="7"/>
      <c r="Y22" s="6"/>
      <c r="Z22" s="84" t="s">
        <v>7</v>
      </c>
      <c r="AA22" s="84"/>
      <c r="AB22" s="7"/>
      <c r="AC22" s="6"/>
      <c r="AD22" s="84"/>
      <c r="AE22" s="84"/>
      <c r="AF22" s="7"/>
      <c r="AG22" s="6"/>
      <c r="AH22" s="84"/>
      <c r="AI22" s="84"/>
      <c r="AJ22" s="7"/>
      <c r="AK22" s="6"/>
      <c r="AL22" s="84" t="s">
        <v>9</v>
      </c>
      <c r="AM22" s="84"/>
      <c r="AN22" s="7"/>
      <c r="AO22" s="6"/>
      <c r="AP22" s="84"/>
      <c r="AQ22" s="84"/>
      <c r="AR22" s="7"/>
      <c r="AS22" s="6"/>
      <c r="AT22" s="84" t="s">
        <v>9</v>
      </c>
      <c r="AU22" s="84"/>
      <c r="AV22" s="7"/>
      <c r="AW22" s="6"/>
      <c r="AX22" s="84"/>
      <c r="AY22" s="84"/>
      <c r="AZ22" s="7"/>
      <c r="BA22" s="6"/>
      <c r="BB22" s="84"/>
      <c r="BC22" s="84"/>
      <c r="BD22" s="7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V22" s="40" t="s">
        <v>14</v>
      </c>
      <c r="BW22" s="41"/>
      <c r="BX22" s="41"/>
      <c r="BY22" s="38" t="s">
        <v>15</v>
      </c>
    </row>
    <row r="23" spans="10:77" ht="9.9499999999999993" customHeight="1" x14ac:dyDescent="0.25">
      <c r="J23" s="5"/>
      <c r="K23" s="5"/>
      <c r="L23" s="5"/>
      <c r="M23" s="5"/>
      <c r="N23" s="5"/>
      <c r="O23" s="5"/>
      <c r="P23" s="5"/>
      <c r="Q23" s="5"/>
      <c r="R23" s="5"/>
      <c r="S23" s="5"/>
      <c r="T23" s="6"/>
      <c r="U23" s="7"/>
      <c r="V23" s="84"/>
      <c r="W23" s="84"/>
      <c r="X23" s="6"/>
      <c r="Y23" s="7"/>
      <c r="Z23" s="84"/>
      <c r="AA23" s="84"/>
      <c r="AB23" s="6"/>
      <c r="AC23" s="7"/>
      <c r="AD23" s="84"/>
      <c r="AE23" s="84"/>
      <c r="AF23" s="6"/>
      <c r="AG23" s="7"/>
      <c r="AH23" s="84"/>
      <c r="AI23" s="84"/>
      <c r="AJ23" s="6"/>
      <c r="AK23" s="7"/>
      <c r="AL23" s="84"/>
      <c r="AM23" s="84"/>
      <c r="AN23" s="6"/>
      <c r="AO23" s="7"/>
      <c r="AP23" s="84"/>
      <c r="AQ23" s="84"/>
      <c r="AR23" s="6"/>
      <c r="AS23" s="7"/>
      <c r="AT23" s="84"/>
      <c r="AU23" s="84"/>
      <c r="AV23" s="6"/>
      <c r="AW23" s="7"/>
      <c r="AX23" s="84"/>
      <c r="AY23" s="84"/>
      <c r="AZ23" s="6"/>
      <c r="BA23" s="7"/>
      <c r="BB23" s="84"/>
      <c r="BC23" s="84"/>
      <c r="BD23" s="6"/>
      <c r="BE23" s="7"/>
      <c r="BF23" s="5"/>
      <c r="BG23" s="5"/>
      <c r="BH23" s="5"/>
      <c r="BI23" s="5"/>
      <c r="BJ23" s="5"/>
      <c r="BK23" s="5"/>
      <c r="BL23" s="5"/>
      <c r="BM23" s="5"/>
      <c r="BN23" s="5"/>
      <c r="BO23" s="5"/>
      <c r="BV23" s="40"/>
      <c r="BW23" s="41"/>
      <c r="BX23" s="41"/>
      <c r="BY23" s="38"/>
    </row>
    <row r="24" spans="10:77" ht="9.9499999999999993" customHeight="1" x14ac:dyDescent="0.25">
      <c r="J24" s="5"/>
      <c r="K24" s="5"/>
      <c r="L24" s="5"/>
      <c r="M24" s="5"/>
      <c r="N24" s="5"/>
      <c r="O24" s="5"/>
      <c r="P24" s="5"/>
      <c r="Q24" s="5"/>
      <c r="R24" s="5"/>
      <c r="S24" s="6"/>
      <c r="T24" s="84"/>
      <c r="U24" s="84"/>
      <c r="V24" s="7"/>
      <c r="W24" s="6"/>
      <c r="X24" s="84"/>
      <c r="Y24" s="84"/>
      <c r="Z24" s="7"/>
      <c r="AA24" s="6"/>
      <c r="AB24" s="84"/>
      <c r="AC24" s="84"/>
      <c r="AD24" s="7"/>
      <c r="AE24" s="6"/>
      <c r="AF24" s="84" t="s">
        <v>9</v>
      </c>
      <c r="AG24" s="84"/>
      <c r="AH24" s="7"/>
      <c r="AI24" s="6"/>
      <c r="AJ24" s="84"/>
      <c r="AK24" s="84"/>
      <c r="AL24" s="7"/>
      <c r="AM24" s="6"/>
      <c r="AN24" s="84" t="s">
        <v>9</v>
      </c>
      <c r="AO24" s="84"/>
      <c r="AP24" s="7"/>
      <c r="AQ24" s="6"/>
      <c r="AR24" s="84"/>
      <c r="AS24" s="84"/>
      <c r="AT24" s="7"/>
      <c r="AU24" s="6"/>
      <c r="AV24" s="84"/>
      <c r="AW24" s="84"/>
      <c r="AX24" s="7"/>
      <c r="AY24" s="6"/>
      <c r="AZ24" s="84"/>
      <c r="BA24" s="84"/>
      <c r="BB24" s="7"/>
      <c r="BC24" s="6"/>
      <c r="BD24" s="84" t="s">
        <v>9</v>
      </c>
      <c r="BE24" s="84"/>
      <c r="BF24" s="7"/>
      <c r="BG24" s="5"/>
      <c r="BH24" s="5"/>
      <c r="BI24" s="5"/>
      <c r="BJ24" s="5"/>
      <c r="BK24" s="5"/>
      <c r="BL24" s="5"/>
      <c r="BM24" s="5"/>
      <c r="BN24" s="5"/>
      <c r="BO24" s="5"/>
      <c r="BV24" s="40" t="s">
        <v>16</v>
      </c>
      <c r="BW24" s="41"/>
      <c r="BX24" s="41"/>
      <c r="BY24" s="38" t="s">
        <v>17</v>
      </c>
    </row>
    <row r="25" spans="10:77" ht="9.9499999999999993" customHeight="1" x14ac:dyDescent="0.25">
      <c r="J25" s="5"/>
      <c r="K25" s="5"/>
      <c r="L25" s="5"/>
      <c r="M25" s="5"/>
      <c r="N25" s="5"/>
      <c r="O25" s="5"/>
      <c r="P25" s="5"/>
      <c r="R25" s="6"/>
      <c r="S25" s="7"/>
      <c r="T25" s="84"/>
      <c r="U25" s="84"/>
      <c r="V25" s="6"/>
      <c r="W25" s="7"/>
      <c r="X25" s="84"/>
      <c r="Y25" s="84"/>
      <c r="Z25" s="6"/>
      <c r="AA25" s="7"/>
      <c r="AB25" s="84"/>
      <c r="AC25" s="84"/>
      <c r="AD25" s="6"/>
      <c r="AE25" s="7"/>
      <c r="AF25" s="84"/>
      <c r="AG25" s="84"/>
      <c r="AH25" s="6"/>
      <c r="AI25" s="7"/>
      <c r="AJ25" s="84"/>
      <c r="AK25" s="84"/>
      <c r="AL25" s="6"/>
      <c r="AM25" s="7"/>
      <c r="AN25" s="84"/>
      <c r="AO25" s="84"/>
      <c r="AP25" s="6"/>
      <c r="AQ25" s="7"/>
      <c r="AR25" s="84"/>
      <c r="AS25" s="84"/>
      <c r="AT25" s="6"/>
      <c r="AU25" s="7"/>
      <c r="AV25" s="84"/>
      <c r="AW25" s="84"/>
      <c r="AX25" s="6"/>
      <c r="AY25" s="7"/>
      <c r="AZ25" s="84"/>
      <c r="BA25" s="84"/>
      <c r="BB25" s="6"/>
      <c r="BC25" s="7"/>
      <c r="BD25" s="84"/>
      <c r="BE25" s="84"/>
      <c r="BF25" s="6"/>
      <c r="BG25" s="7"/>
      <c r="BH25" s="5"/>
      <c r="BI25" s="5"/>
      <c r="BJ25" s="5"/>
      <c r="BK25" s="5"/>
      <c r="BL25" s="5"/>
      <c r="BM25" s="5"/>
      <c r="BN25" s="5"/>
      <c r="BO25" s="5"/>
      <c r="BV25" s="42"/>
      <c r="BW25" s="43"/>
      <c r="BX25" s="43"/>
      <c r="BY25" s="39"/>
    </row>
    <row r="26" spans="10:77" ht="9.9499999999999993" customHeight="1" x14ac:dyDescent="0.25">
      <c r="J26" s="5"/>
      <c r="K26" s="5"/>
      <c r="L26" s="5"/>
      <c r="M26" s="5"/>
      <c r="N26" s="5"/>
      <c r="O26" s="5"/>
      <c r="P26" s="5"/>
      <c r="Q26" s="5"/>
      <c r="R26" s="84"/>
      <c r="S26" s="84"/>
      <c r="T26" s="7"/>
      <c r="U26" s="6"/>
      <c r="V26" s="84"/>
      <c r="W26" s="84"/>
      <c r="X26" s="7"/>
      <c r="Y26" s="6"/>
      <c r="Z26" s="84"/>
      <c r="AA26" s="84"/>
      <c r="AB26" s="7"/>
      <c r="AC26" s="6"/>
      <c r="AD26" s="84" t="s">
        <v>9</v>
      </c>
      <c r="AE26" s="84"/>
      <c r="AF26" s="7"/>
      <c r="AG26" s="6"/>
      <c r="AH26" s="84"/>
      <c r="AI26" s="84"/>
      <c r="AJ26" s="7"/>
      <c r="AK26" s="6"/>
      <c r="AL26" s="84" t="s">
        <v>9</v>
      </c>
      <c r="AM26" s="84"/>
      <c r="AN26" s="7"/>
      <c r="AO26" s="6"/>
      <c r="AP26" s="84"/>
      <c r="AQ26" s="84"/>
      <c r="AR26" s="7"/>
      <c r="AS26" s="6"/>
      <c r="AT26" s="84"/>
      <c r="AU26" s="84"/>
      <c r="AV26" s="7"/>
      <c r="AW26" s="6"/>
      <c r="AX26" s="84" t="s">
        <v>7</v>
      </c>
      <c r="AY26" s="84"/>
      <c r="AZ26" s="7"/>
      <c r="BA26" s="6"/>
      <c r="BB26" s="84" t="s">
        <v>7</v>
      </c>
      <c r="BC26" s="84"/>
      <c r="BD26" s="7"/>
      <c r="BE26" s="6"/>
      <c r="BF26" s="84"/>
      <c r="BG26" s="84"/>
      <c r="BH26" s="7"/>
      <c r="BI26" s="5"/>
      <c r="BJ26" s="5"/>
      <c r="BK26" s="5"/>
      <c r="BL26" s="5"/>
      <c r="BM26" s="5"/>
      <c r="BN26" s="5"/>
      <c r="BO26" s="5"/>
      <c r="BV26" s="10"/>
      <c r="BW26" s="10"/>
      <c r="BX26" s="11"/>
      <c r="BY26" s="10"/>
    </row>
    <row r="27" spans="10:77" ht="9.9499999999999993" customHeight="1" x14ac:dyDescent="0.25">
      <c r="J27" s="5"/>
      <c r="K27" s="5"/>
      <c r="L27" s="5"/>
      <c r="M27" s="5"/>
      <c r="N27" s="5"/>
      <c r="O27" s="5"/>
      <c r="P27" s="6"/>
      <c r="Q27" s="7"/>
      <c r="R27" s="84"/>
      <c r="S27" s="84"/>
      <c r="T27" s="6"/>
      <c r="U27" s="7"/>
      <c r="V27" s="84"/>
      <c r="W27" s="84"/>
      <c r="X27" s="6"/>
      <c r="Y27" s="7"/>
      <c r="Z27" s="84"/>
      <c r="AA27" s="84"/>
      <c r="AB27" s="6"/>
      <c r="AC27" s="7"/>
      <c r="AD27" s="84"/>
      <c r="AE27" s="84"/>
      <c r="AF27" s="6"/>
      <c r="AG27" s="7"/>
      <c r="AH27" s="84"/>
      <c r="AI27" s="84"/>
      <c r="AJ27" s="6"/>
      <c r="AK27" s="7"/>
      <c r="AL27" s="84"/>
      <c r="AM27" s="84"/>
      <c r="AN27" s="6"/>
      <c r="AO27" s="7"/>
      <c r="AP27" s="84"/>
      <c r="AQ27" s="84"/>
      <c r="AR27" s="6"/>
      <c r="AS27" s="7"/>
      <c r="AT27" s="84"/>
      <c r="AU27" s="84"/>
      <c r="AV27" s="6"/>
      <c r="AW27" s="7"/>
      <c r="AX27" s="84"/>
      <c r="AY27" s="84"/>
      <c r="AZ27" s="6"/>
      <c r="BA27" s="7"/>
      <c r="BB27" s="84"/>
      <c r="BC27" s="84"/>
      <c r="BD27" s="6"/>
      <c r="BE27" s="7"/>
      <c r="BF27" s="84"/>
      <c r="BG27" s="84"/>
      <c r="BH27" s="6"/>
      <c r="BI27" s="7"/>
      <c r="BJ27" s="5"/>
      <c r="BK27" s="5"/>
      <c r="BL27" s="5"/>
      <c r="BM27" s="5"/>
      <c r="BN27" s="5"/>
      <c r="BO27" s="5"/>
      <c r="BV27" s="50" t="s">
        <v>0</v>
      </c>
      <c r="BW27" s="51"/>
      <c r="BX27" s="51"/>
      <c r="BY27" s="52"/>
    </row>
    <row r="28" spans="10:77" ht="9.9499999999999993" customHeight="1" x14ac:dyDescent="0.25">
      <c r="J28" s="5"/>
      <c r="K28" s="5"/>
      <c r="L28" s="5"/>
      <c r="M28" s="5"/>
      <c r="N28" s="5"/>
      <c r="O28" s="6"/>
      <c r="P28" s="84"/>
      <c r="Q28" s="84"/>
      <c r="R28" s="7"/>
      <c r="S28" s="6"/>
      <c r="T28" s="84"/>
      <c r="U28" s="84"/>
      <c r="V28" s="7"/>
      <c r="W28" s="6"/>
      <c r="X28" s="84"/>
      <c r="Y28" s="84"/>
      <c r="Z28" s="7"/>
      <c r="AA28" s="6"/>
      <c r="AB28" s="84" t="s">
        <v>9</v>
      </c>
      <c r="AC28" s="84"/>
      <c r="AD28" s="7"/>
      <c r="AE28" s="6"/>
      <c r="AF28" s="84"/>
      <c r="AG28" s="84"/>
      <c r="AH28" s="7"/>
      <c r="AI28" s="6"/>
      <c r="AJ28" s="84"/>
      <c r="AK28" s="84"/>
      <c r="AL28" s="7"/>
      <c r="AM28" s="6"/>
      <c r="AN28" s="84" t="s">
        <v>7</v>
      </c>
      <c r="AO28" s="84"/>
      <c r="AP28" s="7"/>
      <c r="AQ28" s="6"/>
      <c r="AR28" s="84"/>
      <c r="AS28" s="84"/>
      <c r="AT28" s="7"/>
      <c r="AU28" s="6"/>
      <c r="AV28" s="84"/>
      <c r="AW28" s="84"/>
      <c r="AX28" s="7"/>
      <c r="AY28" s="6"/>
      <c r="AZ28" s="84"/>
      <c r="BA28" s="84"/>
      <c r="BB28" s="7"/>
      <c r="BC28" s="6"/>
      <c r="BD28" s="84"/>
      <c r="BE28" s="84"/>
      <c r="BF28" s="7"/>
      <c r="BG28" s="6"/>
      <c r="BH28" s="84" t="s">
        <v>9</v>
      </c>
      <c r="BI28" s="84"/>
      <c r="BJ28" s="7"/>
      <c r="BK28" s="5"/>
      <c r="BL28" s="5"/>
      <c r="BM28" s="5"/>
      <c r="BN28" s="5"/>
      <c r="BO28" s="5"/>
      <c r="BV28" s="53"/>
      <c r="BW28" s="54"/>
      <c r="BX28" s="54"/>
      <c r="BY28" s="55"/>
    </row>
    <row r="29" spans="10:77" ht="9.9499999999999993" customHeight="1" x14ac:dyDescent="0.25">
      <c r="J29" s="5"/>
      <c r="K29" s="5"/>
      <c r="L29" s="5"/>
      <c r="M29" s="5"/>
      <c r="N29" s="6"/>
      <c r="O29" s="7"/>
      <c r="P29" s="84"/>
      <c r="Q29" s="84"/>
      <c r="R29" s="6"/>
      <c r="S29" s="7"/>
      <c r="T29" s="84"/>
      <c r="U29" s="84"/>
      <c r="V29" s="6"/>
      <c r="W29" s="7"/>
      <c r="X29" s="84"/>
      <c r="Y29" s="84"/>
      <c r="Z29" s="6"/>
      <c r="AA29" s="7"/>
      <c r="AB29" s="84"/>
      <c r="AC29" s="84"/>
      <c r="AD29" s="6"/>
      <c r="AE29" s="7"/>
      <c r="AF29" s="84"/>
      <c r="AG29" s="84"/>
      <c r="AH29" s="6"/>
      <c r="AI29" s="7"/>
      <c r="AJ29" s="84"/>
      <c r="AK29" s="84"/>
      <c r="AL29" s="6"/>
      <c r="AM29" s="7"/>
      <c r="AN29" s="84"/>
      <c r="AO29" s="84"/>
      <c r="AP29" s="6"/>
      <c r="AQ29" s="7"/>
      <c r="AR29" s="84"/>
      <c r="AS29" s="84"/>
      <c r="AT29" s="6"/>
      <c r="AU29" s="7"/>
      <c r="AV29" s="84"/>
      <c r="AW29" s="84"/>
      <c r="AX29" s="6"/>
      <c r="AY29" s="7"/>
      <c r="AZ29" s="84"/>
      <c r="BA29" s="84"/>
      <c r="BB29" s="6"/>
      <c r="BC29" s="7"/>
      <c r="BD29" s="84"/>
      <c r="BE29" s="84"/>
      <c r="BF29" s="6"/>
      <c r="BG29" s="7"/>
      <c r="BH29" s="84"/>
      <c r="BI29" s="84"/>
      <c r="BJ29" s="6"/>
      <c r="BK29" s="7"/>
      <c r="BL29" s="5"/>
      <c r="BM29" s="5"/>
      <c r="BN29" s="5"/>
      <c r="BO29" s="5"/>
      <c r="BV29" s="40" t="s">
        <v>18</v>
      </c>
      <c r="BW29" s="41"/>
      <c r="BX29" s="41"/>
      <c r="BY29" s="38" t="s">
        <v>1</v>
      </c>
    </row>
    <row r="30" spans="10:77" ht="9.9499999999999993" customHeight="1" x14ac:dyDescent="0.25">
      <c r="J30" s="5"/>
      <c r="K30" s="5"/>
      <c r="L30" s="5"/>
      <c r="M30" s="6"/>
      <c r="N30" s="84"/>
      <c r="O30" s="84"/>
      <c r="P30" s="7"/>
      <c r="Q30" s="6"/>
      <c r="R30" s="84"/>
      <c r="S30" s="84"/>
      <c r="T30" s="7"/>
      <c r="U30" s="6"/>
      <c r="V30" s="84"/>
      <c r="W30" s="84"/>
      <c r="X30" s="7"/>
      <c r="Y30" s="6"/>
      <c r="Z30" s="84" t="s">
        <v>9</v>
      </c>
      <c r="AA30" s="84"/>
      <c r="AB30" s="7"/>
      <c r="AC30" s="6"/>
      <c r="AD30" s="84"/>
      <c r="AE30" s="84"/>
      <c r="AF30" s="7"/>
      <c r="AG30" s="6"/>
      <c r="AH30" s="84"/>
      <c r="AI30" s="84"/>
      <c r="AJ30" s="7"/>
      <c r="AK30" s="6"/>
      <c r="AL30" s="84"/>
      <c r="AM30" s="84"/>
      <c r="AN30" s="7"/>
      <c r="AO30" s="6"/>
      <c r="AP30" s="84" t="s">
        <v>9</v>
      </c>
      <c r="AQ30" s="84"/>
      <c r="AR30" s="7"/>
      <c r="AS30" s="6"/>
      <c r="AT30" s="84"/>
      <c r="AU30" s="84"/>
      <c r="AV30" s="7"/>
      <c r="AW30" s="6"/>
      <c r="AX30" s="84" t="s">
        <v>7</v>
      </c>
      <c r="AY30" s="84"/>
      <c r="AZ30" s="7"/>
      <c r="BA30" s="6"/>
      <c r="BB30" s="84"/>
      <c r="BC30" s="84"/>
      <c r="BD30" s="7"/>
      <c r="BE30" s="6"/>
      <c r="BF30" s="84" t="s">
        <v>7</v>
      </c>
      <c r="BG30" s="84"/>
      <c r="BH30" s="7"/>
      <c r="BI30" s="6"/>
      <c r="BJ30" s="84"/>
      <c r="BK30" s="84"/>
      <c r="BL30" s="7"/>
      <c r="BM30" s="5"/>
      <c r="BN30" s="5"/>
      <c r="BO30" s="5"/>
      <c r="BV30" s="40"/>
      <c r="BW30" s="41"/>
      <c r="BX30" s="41"/>
      <c r="BY30" s="38"/>
    </row>
    <row r="31" spans="10:77" ht="9.9499999999999993" customHeight="1" x14ac:dyDescent="0.25">
      <c r="J31" s="5"/>
      <c r="K31" s="5"/>
      <c r="L31" s="6"/>
      <c r="M31" s="7"/>
      <c r="N31" s="84"/>
      <c r="O31" s="84"/>
      <c r="P31" s="6"/>
      <c r="Q31" s="7"/>
      <c r="R31" s="84"/>
      <c r="S31" s="84"/>
      <c r="T31" s="6"/>
      <c r="U31" s="7"/>
      <c r="V31" s="84"/>
      <c r="W31" s="84"/>
      <c r="X31" s="6"/>
      <c r="Y31" s="7"/>
      <c r="Z31" s="84"/>
      <c r="AA31" s="84"/>
      <c r="AB31" s="6"/>
      <c r="AC31" s="7"/>
      <c r="AD31" s="84"/>
      <c r="AE31" s="84"/>
      <c r="AF31" s="6"/>
      <c r="AG31" s="7"/>
      <c r="AH31" s="84"/>
      <c r="AI31" s="84"/>
      <c r="AJ31" s="6"/>
      <c r="AK31" s="7"/>
      <c r="AL31" s="84"/>
      <c r="AM31" s="84"/>
      <c r="AN31" s="6"/>
      <c r="AO31" s="7"/>
      <c r="AP31" s="84"/>
      <c r="AQ31" s="84"/>
      <c r="AR31" s="6"/>
      <c r="AS31" s="7"/>
      <c r="AT31" s="84"/>
      <c r="AU31" s="84"/>
      <c r="AV31" s="6"/>
      <c r="AW31" s="7"/>
      <c r="AX31" s="84"/>
      <c r="AY31" s="84"/>
      <c r="AZ31" s="6"/>
      <c r="BA31" s="7"/>
      <c r="BB31" s="84"/>
      <c r="BC31" s="84"/>
      <c r="BD31" s="6"/>
      <c r="BE31" s="7"/>
      <c r="BF31" s="84"/>
      <c r="BG31" s="84"/>
      <c r="BH31" s="6"/>
      <c r="BI31" s="7"/>
      <c r="BJ31" s="84"/>
      <c r="BK31" s="84"/>
      <c r="BL31" s="6"/>
      <c r="BM31" s="7"/>
      <c r="BN31" s="5"/>
      <c r="BO31" s="5"/>
      <c r="BV31" s="40" t="s">
        <v>19</v>
      </c>
      <c r="BW31" s="41"/>
      <c r="BX31" s="41"/>
      <c r="BY31" s="38" t="s">
        <v>20</v>
      </c>
    </row>
    <row r="32" spans="10:77" ht="9.9499999999999993" customHeight="1" x14ac:dyDescent="0.25">
      <c r="J32" s="5"/>
      <c r="K32" s="6"/>
      <c r="L32" s="84"/>
      <c r="M32" s="84"/>
      <c r="N32" s="7"/>
      <c r="O32" s="6"/>
      <c r="P32" s="84" t="s">
        <v>9</v>
      </c>
      <c r="Q32" s="84"/>
      <c r="R32" s="7"/>
      <c r="S32" s="6"/>
      <c r="T32" s="84" t="s">
        <v>7</v>
      </c>
      <c r="U32" s="84"/>
      <c r="V32" s="7"/>
      <c r="W32" s="6"/>
      <c r="X32" s="84" t="s">
        <v>9</v>
      </c>
      <c r="Y32" s="84"/>
      <c r="Z32" s="7"/>
      <c r="AA32" s="6"/>
      <c r="AB32" s="84"/>
      <c r="AC32" s="84"/>
      <c r="AD32" s="7"/>
      <c r="AE32" s="6"/>
      <c r="AF32" s="84" t="s">
        <v>9</v>
      </c>
      <c r="AG32" s="84"/>
      <c r="AH32" s="7"/>
      <c r="AI32" s="6"/>
      <c r="AJ32" s="84"/>
      <c r="AK32" s="84"/>
      <c r="AL32" s="7"/>
      <c r="AM32" s="6"/>
      <c r="AN32" s="84"/>
      <c r="AO32" s="84"/>
      <c r="AP32" s="7"/>
      <c r="AQ32" s="6"/>
      <c r="AR32" s="84"/>
      <c r="AS32" s="84"/>
      <c r="AT32" s="7"/>
      <c r="AU32" s="6"/>
      <c r="AV32" s="84" t="s">
        <v>9</v>
      </c>
      <c r="AW32" s="84"/>
      <c r="AX32" s="7"/>
      <c r="AY32" s="6"/>
      <c r="AZ32" s="84" t="s">
        <v>7</v>
      </c>
      <c r="BA32" s="84"/>
      <c r="BB32" s="7"/>
      <c r="BC32" s="6"/>
      <c r="BD32" s="84"/>
      <c r="BE32" s="84"/>
      <c r="BF32" s="7"/>
      <c r="BG32" s="6"/>
      <c r="BH32" s="84"/>
      <c r="BI32" s="84"/>
      <c r="BJ32" s="7"/>
      <c r="BK32" s="6"/>
      <c r="BL32" s="84"/>
      <c r="BM32" s="84"/>
      <c r="BN32" s="7"/>
      <c r="BO32" s="5"/>
      <c r="BP32" s="8"/>
      <c r="BQ32" s="8"/>
      <c r="BV32" s="40"/>
      <c r="BW32" s="41"/>
      <c r="BX32" s="41"/>
      <c r="BY32" s="38"/>
    </row>
    <row r="33" spans="2:88" ht="9.9499999999999993" customHeight="1" x14ac:dyDescent="0.25">
      <c r="J33" s="6"/>
      <c r="K33" s="7"/>
      <c r="L33" s="84"/>
      <c r="M33" s="84"/>
      <c r="N33" s="6"/>
      <c r="O33" s="7"/>
      <c r="P33" s="84"/>
      <c r="Q33" s="84"/>
      <c r="R33" s="6"/>
      <c r="S33" s="7"/>
      <c r="T33" s="84"/>
      <c r="U33" s="84"/>
      <c r="V33" s="6"/>
      <c r="W33" s="7"/>
      <c r="X33" s="84"/>
      <c r="Y33" s="84"/>
      <c r="Z33" s="6"/>
      <c r="AA33" s="7"/>
      <c r="AB33" s="84"/>
      <c r="AC33" s="84"/>
      <c r="AD33" s="6"/>
      <c r="AE33" s="7"/>
      <c r="AF33" s="84"/>
      <c r="AG33" s="84"/>
      <c r="AH33" s="6"/>
      <c r="AI33" s="7"/>
      <c r="AJ33" s="84"/>
      <c r="AK33" s="84"/>
      <c r="AL33" s="6"/>
      <c r="AM33" s="7"/>
      <c r="AN33" s="84"/>
      <c r="AO33" s="84"/>
      <c r="AP33" s="6"/>
      <c r="AQ33" s="7"/>
      <c r="AR33" s="84"/>
      <c r="AS33" s="84"/>
      <c r="AT33" s="6"/>
      <c r="AU33" s="7"/>
      <c r="AV33" s="84"/>
      <c r="AW33" s="84"/>
      <c r="AX33" s="6"/>
      <c r="AY33" s="7"/>
      <c r="AZ33" s="84"/>
      <c r="BA33" s="84"/>
      <c r="BB33" s="6"/>
      <c r="BC33" s="7"/>
      <c r="BD33" s="84"/>
      <c r="BE33" s="84"/>
      <c r="BF33" s="6"/>
      <c r="BG33" s="7"/>
      <c r="BH33" s="84"/>
      <c r="BI33" s="84"/>
      <c r="BJ33" s="6"/>
      <c r="BK33" s="7"/>
      <c r="BL33" s="84"/>
      <c r="BM33" s="84"/>
      <c r="BN33" s="6"/>
      <c r="BO33" s="7"/>
      <c r="BP33" s="8"/>
      <c r="BQ33" s="8"/>
      <c r="BV33" s="40" t="s">
        <v>21</v>
      </c>
      <c r="BW33" s="41"/>
      <c r="BX33" s="41"/>
      <c r="BY33" s="38" t="s">
        <v>2</v>
      </c>
    </row>
    <row r="34" spans="2:88" ht="9.9499999999999993" customHeight="1" x14ac:dyDescent="0.25">
      <c r="I34" s="3"/>
      <c r="J34" s="84"/>
      <c r="K34" s="84"/>
      <c r="L34" s="7"/>
      <c r="M34" s="6"/>
      <c r="N34" s="84"/>
      <c r="O34" s="84"/>
      <c r="P34" s="7"/>
      <c r="Q34" s="6"/>
      <c r="R34" s="84"/>
      <c r="S34" s="84"/>
      <c r="T34" s="7"/>
      <c r="U34" s="6"/>
      <c r="V34" s="84"/>
      <c r="W34" s="84"/>
      <c r="X34" s="7"/>
      <c r="Y34" s="6"/>
      <c r="Z34" s="84"/>
      <c r="AA34" s="84"/>
      <c r="AB34" s="7"/>
      <c r="AC34" s="6"/>
      <c r="AD34" s="84" t="s">
        <v>9</v>
      </c>
      <c r="AE34" s="84"/>
      <c r="AF34" s="7"/>
      <c r="AG34" s="6"/>
      <c r="AH34" s="84" t="s">
        <v>9</v>
      </c>
      <c r="AI34" s="84"/>
      <c r="AJ34" s="7"/>
      <c r="AK34" s="6"/>
      <c r="AL34" s="84"/>
      <c r="AM34" s="84"/>
      <c r="AN34" s="7"/>
      <c r="AO34" s="6"/>
      <c r="AP34" s="84"/>
      <c r="AQ34" s="84"/>
      <c r="AR34" s="7"/>
      <c r="AS34" s="6"/>
      <c r="AT34" s="84" t="s">
        <v>7</v>
      </c>
      <c r="AU34" s="84"/>
      <c r="AV34" s="7"/>
      <c r="AW34" s="6"/>
      <c r="AX34" s="84"/>
      <c r="AY34" s="84"/>
      <c r="AZ34" s="7"/>
      <c r="BA34" s="6"/>
      <c r="BB34" s="84"/>
      <c r="BC34" s="84"/>
      <c r="BD34" s="7"/>
      <c r="BE34" s="6"/>
      <c r="BF34" s="84"/>
      <c r="BG34" s="84"/>
      <c r="BH34" s="7"/>
      <c r="BI34" s="6"/>
      <c r="BJ34" s="84"/>
      <c r="BK34" s="84"/>
      <c r="BL34" s="7"/>
      <c r="BM34" s="6"/>
      <c r="BN34" s="84"/>
      <c r="BO34" s="84"/>
      <c r="BP34" s="4"/>
      <c r="BR34" s="5"/>
      <c r="BV34" s="42"/>
      <c r="BW34" s="43"/>
      <c r="BX34" s="43"/>
      <c r="BY34" s="39"/>
    </row>
    <row r="35" spans="2:88" ht="9.9499999999999993" customHeight="1" x14ac:dyDescent="0.25">
      <c r="I35" s="4"/>
      <c r="J35" s="84"/>
      <c r="K35" s="84"/>
      <c r="L35" s="6"/>
      <c r="M35" s="7"/>
      <c r="N35" s="84"/>
      <c r="O35" s="84"/>
      <c r="P35" s="6"/>
      <c r="Q35" s="7"/>
      <c r="R35" s="84"/>
      <c r="S35" s="84"/>
      <c r="T35" s="6"/>
      <c r="U35" s="7"/>
      <c r="V35" s="84"/>
      <c r="W35" s="84"/>
      <c r="X35" s="6"/>
      <c r="Y35" s="7"/>
      <c r="Z35" s="84"/>
      <c r="AA35" s="84"/>
      <c r="AB35" s="6"/>
      <c r="AC35" s="7"/>
      <c r="AD35" s="84"/>
      <c r="AE35" s="84"/>
      <c r="AF35" s="6"/>
      <c r="AG35" s="7"/>
      <c r="AH35" s="84"/>
      <c r="AI35" s="84"/>
      <c r="AJ35" s="6"/>
      <c r="AK35" s="7"/>
      <c r="AL35" s="84"/>
      <c r="AM35" s="84"/>
      <c r="AN35" s="6"/>
      <c r="AO35" s="7"/>
      <c r="AP35" s="84"/>
      <c r="AQ35" s="84"/>
      <c r="AR35" s="6"/>
      <c r="AS35" s="7"/>
      <c r="AT35" s="84"/>
      <c r="AU35" s="84"/>
      <c r="AV35" s="6"/>
      <c r="AW35" s="7"/>
      <c r="AX35" s="84"/>
      <c r="AY35" s="84"/>
      <c r="AZ35" s="6"/>
      <c r="BA35" s="7"/>
      <c r="BB35" s="84"/>
      <c r="BC35" s="84"/>
      <c r="BD35" s="6"/>
      <c r="BE35" s="7"/>
      <c r="BF35" s="84"/>
      <c r="BG35" s="84"/>
      <c r="BH35" s="6"/>
      <c r="BI35" s="7"/>
      <c r="BJ35" s="84"/>
      <c r="BK35" s="84"/>
      <c r="BL35" s="6"/>
      <c r="BM35" s="7"/>
      <c r="BN35" s="84"/>
      <c r="BO35" s="84"/>
      <c r="BP35" s="3"/>
      <c r="BQ35" s="4"/>
      <c r="BR35" s="5"/>
    </row>
    <row r="36" spans="2:88" ht="9.9499999999999993" customHeight="1" x14ac:dyDescent="0.25">
      <c r="G36" s="3"/>
      <c r="J36" s="4"/>
      <c r="K36" s="3"/>
      <c r="N36" s="4"/>
      <c r="O36" s="3"/>
      <c r="R36" s="4"/>
      <c r="S36" s="3"/>
      <c r="V36" s="4"/>
      <c r="W36" s="3"/>
      <c r="Z36" s="4"/>
      <c r="AA36" s="3"/>
      <c r="AD36" s="4"/>
      <c r="AE36" s="3"/>
      <c r="AH36" s="4"/>
      <c r="AI36" s="3"/>
      <c r="AL36" s="4"/>
      <c r="AM36" s="3"/>
      <c r="AP36" s="4"/>
      <c r="AQ36" s="3"/>
      <c r="AT36" s="4"/>
      <c r="AU36" s="3"/>
      <c r="AX36" s="4"/>
      <c r="AY36" s="3"/>
      <c r="BB36" s="4"/>
      <c r="BC36" s="3"/>
      <c r="BF36" s="4"/>
      <c r="BG36" s="3"/>
      <c r="BJ36" s="4"/>
      <c r="BK36" s="3"/>
      <c r="BN36" s="4"/>
      <c r="BO36" s="3"/>
      <c r="BR36" s="4"/>
    </row>
    <row r="37" spans="2:88" ht="19.5" customHeight="1" x14ac:dyDescent="0.25">
      <c r="E37" s="75" t="s">
        <v>22</v>
      </c>
      <c r="F37" s="75"/>
      <c r="G37" s="47">
        <v>1</v>
      </c>
      <c r="H37" s="48"/>
      <c r="I37" s="48"/>
      <c r="J37" s="49"/>
      <c r="K37" s="47">
        <v>2</v>
      </c>
      <c r="L37" s="48"/>
      <c r="M37" s="48"/>
      <c r="N37" s="49"/>
      <c r="O37" s="47">
        <v>3</v>
      </c>
      <c r="P37" s="48"/>
      <c r="Q37" s="48"/>
      <c r="R37" s="49"/>
      <c r="S37" s="47">
        <v>4</v>
      </c>
      <c r="T37" s="48"/>
      <c r="U37" s="48"/>
      <c r="V37" s="49"/>
      <c r="W37" s="47">
        <v>5</v>
      </c>
      <c r="X37" s="48"/>
      <c r="Y37" s="48"/>
      <c r="Z37" s="49"/>
      <c r="AA37" s="47">
        <v>6</v>
      </c>
      <c r="AB37" s="48"/>
      <c r="AC37" s="48"/>
      <c r="AD37" s="49"/>
      <c r="AE37" s="47">
        <v>7</v>
      </c>
      <c r="AF37" s="48"/>
      <c r="AG37" s="48"/>
      <c r="AH37" s="49"/>
      <c r="AI37" s="47">
        <v>8</v>
      </c>
      <c r="AJ37" s="48"/>
      <c r="AK37" s="48"/>
      <c r="AL37" s="49"/>
      <c r="AM37" s="47">
        <v>9</v>
      </c>
      <c r="AN37" s="48"/>
      <c r="AO37" s="48"/>
      <c r="AP37" s="49"/>
      <c r="AQ37" s="47">
        <v>10</v>
      </c>
      <c r="AR37" s="48"/>
      <c r="AS37" s="48"/>
      <c r="AT37" s="49"/>
      <c r="AU37" s="72">
        <v>11</v>
      </c>
      <c r="AV37" s="73"/>
      <c r="AW37" s="73"/>
      <c r="AX37" s="74"/>
      <c r="AY37" s="72">
        <v>12</v>
      </c>
      <c r="AZ37" s="73"/>
      <c r="BA37" s="73"/>
      <c r="BB37" s="74"/>
      <c r="BC37" s="72">
        <v>13</v>
      </c>
      <c r="BD37" s="73"/>
      <c r="BE37" s="73"/>
      <c r="BF37" s="74"/>
      <c r="BG37" s="72">
        <v>14</v>
      </c>
      <c r="BH37" s="73"/>
      <c r="BI37" s="73"/>
      <c r="BJ37" s="74"/>
      <c r="BK37" s="72">
        <v>15</v>
      </c>
      <c r="BL37" s="73"/>
      <c r="BM37" s="73"/>
      <c r="BN37" s="74"/>
      <c r="BO37" s="72">
        <v>16</v>
      </c>
      <c r="BP37" s="73"/>
      <c r="BQ37" s="73"/>
      <c r="BR37" s="74"/>
      <c r="BS37" s="25"/>
    </row>
    <row r="38" spans="2:88" ht="18.95" customHeight="1" x14ac:dyDescent="0.25">
      <c r="E38" s="75" t="s">
        <v>0</v>
      </c>
      <c r="F38" s="75"/>
      <c r="G38" s="69" t="s">
        <v>1</v>
      </c>
      <c r="H38" s="70"/>
      <c r="I38" s="70"/>
      <c r="J38" s="71"/>
      <c r="K38" s="69" t="s">
        <v>20</v>
      </c>
      <c r="L38" s="70"/>
      <c r="M38" s="70"/>
      <c r="N38" s="71"/>
      <c r="O38" s="69" t="s">
        <v>1</v>
      </c>
      <c r="P38" s="70"/>
      <c r="Q38" s="70"/>
      <c r="R38" s="71"/>
      <c r="S38" s="69" t="s">
        <v>1</v>
      </c>
      <c r="T38" s="70"/>
      <c r="U38" s="70"/>
      <c r="V38" s="71"/>
      <c r="W38" s="69" t="s">
        <v>2</v>
      </c>
      <c r="X38" s="70"/>
      <c r="Y38" s="70"/>
      <c r="Z38" s="71"/>
      <c r="AA38" s="69" t="s">
        <v>1</v>
      </c>
      <c r="AB38" s="70"/>
      <c r="AC38" s="70"/>
      <c r="AD38" s="71"/>
      <c r="AE38" s="69" t="s">
        <v>1</v>
      </c>
      <c r="AF38" s="70"/>
      <c r="AG38" s="70"/>
      <c r="AH38" s="71"/>
      <c r="AI38" s="69" t="s">
        <v>2</v>
      </c>
      <c r="AJ38" s="70"/>
      <c r="AK38" s="70"/>
      <c r="AL38" s="71"/>
      <c r="AM38" s="69" t="s">
        <v>20</v>
      </c>
      <c r="AN38" s="70"/>
      <c r="AO38" s="70"/>
      <c r="AP38" s="71"/>
      <c r="AQ38" s="69" t="s">
        <v>1</v>
      </c>
      <c r="AR38" s="70"/>
      <c r="AS38" s="70"/>
      <c r="AT38" s="71"/>
      <c r="AU38" s="69" t="s">
        <v>2</v>
      </c>
      <c r="AV38" s="70"/>
      <c r="AW38" s="70"/>
      <c r="AX38" s="71"/>
      <c r="AY38" s="69" t="s">
        <v>2</v>
      </c>
      <c r="AZ38" s="70"/>
      <c r="BA38" s="70"/>
      <c r="BB38" s="71"/>
      <c r="BC38" s="69" t="s">
        <v>20</v>
      </c>
      <c r="BD38" s="70"/>
      <c r="BE38" s="70"/>
      <c r="BF38" s="71"/>
      <c r="BG38" s="69" t="s">
        <v>20</v>
      </c>
      <c r="BH38" s="70"/>
      <c r="BI38" s="70"/>
      <c r="BJ38" s="71"/>
      <c r="BK38" s="69" t="s">
        <v>2</v>
      </c>
      <c r="BL38" s="70"/>
      <c r="BM38" s="70"/>
      <c r="BN38" s="71"/>
      <c r="BO38" s="69" t="s">
        <v>20</v>
      </c>
      <c r="BP38" s="70"/>
      <c r="BQ38" s="70"/>
      <c r="BR38" s="71"/>
    </row>
    <row r="39" spans="2:88" ht="33.950000000000003" customHeight="1" x14ac:dyDescent="0.25">
      <c r="E39" s="75" t="s">
        <v>31</v>
      </c>
      <c r="F39" s="75"/>
      <c r="G39" s="44" t="s">
        <v>61</v>
      </c>
      <c r="H39" s="45"/>
      <c r="I39" s="45"/>
      <c r="J39" s="45"/>
      <c r="K39" s="46" t="s">
        <v>62</v>
      </c>
      <c r="L39" s="46"/>
      <c r="M39" s="46"/>
      <c r="N39" s="46"/>
      <c r="O39" s="46" t="s">
        <v>63</v>
      </c>
      <c r="P39" s="46"/>
      <c r="Q39" s="46"/>
      <c r="R39" s="46"/>
      <c r="S39" s="46" t="s">
        <v>64</v>
      </c>
      <c r="T39" s="46"/>
      <c r="U39" s="46"/>
      <c r="V39" s="46"/>
      <c r="W39" s="46" t="s">
        <v>65</v>
      </c>
      <c r="X39" s="46"/>
      <c r="Y39" s="46"/>
      <c r="Z39" s="46"/>
      <c r="AA39" s="46" t="s">
        <v>66</v>
      </c>
      <c r="AB39" s="46"/>
      <c r="AC39" s="46"/>
      <c r="AD39" s="46"/>
      <c r="AE39" s="46" t="s">
        <v>66</v>
      </c>
      <c r="AF39" s="46"/>
      <c r="AG39" s="46"/>
      <c r="AH39" s="46"/>
      <c r="AI39" s="46" t="s">
        <v>60</v>
      </c>
      <c r="AJ39" s="46"/>
      <c r="AK39" s="46"/>
      <c r="AL39" s="46"/>
      <c r="AM39" s="46" t="s">
        <v>62</v>
      </c>
      <c r="AN39" s="46"/>
      <c r="AO39" s="46"/>
      <c r="AP39" s="46"/>
      <c r="AQ39" s="110" t="s">
        <v>76</v>
      </c>
      <c r="AR39" s="110"/>
      <c r="AS39" s="110"/>
      <c r="AT39" s="110"/>
      <c r="AU39" s="110" t="s">
        <v>67</v>
      </c>
      <c r="AV39" s="110"/>
      <c r="AW39" s="110"/>
      <c r="AX39" s="110"/>
      <c r="AY39" s="46" t="s">
        <v>68</v>
      </c>
      <c r="AZ39" s="46"/>
      <c r="BA39" s="46"/>
      <c r="BB39" s="46"/>
      <c r="BC39" s="46" t="s">
        <v>69</v>
      </c>
      <c r="BD39" s="46"/>
      <c r="BE39" s="46"/>
      <c r="BF39" s="46"/>
      <c r="BG39" s="46" t="s">
        <v>70</v>
      </c>
      <c r="BH39" s="46"/>
      <c r="BI39" s="46"/>
      <c r="BJ39" s="46"/>
      <c r="BK39" s="46" t="s">
        <v>60</v>
      </c>
      <c r="BL39" s="46"/>
      <c r="BM39" s="46"/>
      <c r="BN39" s="46"/>
      <c r="BO39" s="111" t="s">
        <v>46</v>
      </c>
      <c r="BP39" s="111"/>
      <c r="BQ39" s="111"/>
      <c r="BR39" s="111"/>
    </row>
    <row r="40" spans="2:88" ht="121.5" customHeight="1" x14ac:dyDescent="0.25">
      <c r="B40" s="79" t="s">
        <v>23</v>
      </c>
      <c r="C40" s="79" t="s">
        <v>32</v>
      </c>
      <c r="D40" s="79" t="s">
        <v>25</v>
      </c>
      <c r="E40" s="26"/>
      <c r="F40" s="27" t="s">
        <v>29</v>
      </c>
      <c r="G40" s="86" t="s">
        <v>47</v>
      </c>
      <c r="H40" s="87"/>
      <c r="I40" s="87"/>
      <c r="J40" s="88"/>
      <c r="K40" s="86" t="s">
        <v>48</v>
      </c>
      <c r="L40" s="87"/>
      <c r="M40" s="87"/>
      <c r="N40" s="88"/>
      <c r="O40" s="86" t="s">
        <v>33</v>
      </c>
      <c r="P40" s="87"/>
      <c r="Q40" s="87"/>
      <c r="R40" s="88"/>
      <c r="S40" s="86" t="s">
        <v>34</v>
      </c>
      <c r="T40" s="87"/>
      <c r="U40" s="87"/>
      <c r="V40" s="88"/>
      <c r="W40" s="86" t="s">
        <v>35</v>
      </c>
      <c r="X40" s="87"/>
      <c r="Y40" s="87"/>
      <c r="Z40" s="88"/>
      <c r="AA40" s="86" t="s">
        <v>36</v>
      </c>
      <c r="AB40" s="87"/>
      <c r="AC40" s="87"/>
      <c r="AD40" s="88"/>
      <c r="AE40" s="86" t="s">
        <v>37</v>
      </c>
      <c r="AF40" s="87"/>
      <c r="AG40" s="87"/>
      <c r="AH40" s="88"/>
      <c r="AI40" s="86" t="s">
        <v>38</v>
      </c>
      <c r="AJ40" s="87"/>
      <c r="AK40" s="87"/>
      <c r="AL40" s="88"/>
      <c r="AM40" s="86" t="s">
        <v>39</v>
      </c>
      <c r="AN40" s="87"/>
      <c r="AO40" s="87"/>
      <c r="AP40" s="88"/>
      <c r="AQ40" s="86" t="s">
        <v>40</v>
      </c>
      <c r="AR40" s="87"/>
      <c r="AS40" s="87"/>
      <c r="AT40" s="88"/>
      <c r="AU40" s="86" t="s">
        <v>41</v>
      </c>
      <c r="AV40" s="87"/>
      <c r="AW40" s="87"/>
      <c r="AX40" s="88"/>
      <c r="AY40" s="86" t="s">
        <v>42</v>
      </c>
      <c r="AZ40" s="87"/>
      <c r="BA40" s="87"/>
      <c r="BB40" s="88"/>
      <c r="BC40" s="86" t="s">
        <v>43</v>
      </c>
      <c r="BD40" s="87"/>
      <c r="BE40" s="87"/>
      <c r="BF40" s="88"/>
      <c r="BG40" s="86" t="s">
        <v>44</v>
      </c>
      <c r="BH40" s="87"/>
      <c r="BI40" s="87"/>
      <c r="BJ40" s="88"/>
      <c r="BK40" s="86" t="s">
        <v>45</v>
      </c>
      <c r="BL40" s="87"/>
      <c r="BM40" s="87"/>
      <c r="BN40" s="88"/>
      <c r="BO40" s="86" t="s">
        <v>46</v>
      </c>
      <c r="BP40" s="87"/>
      <c r="BQ40" s="87"/>
      <c r="BR40" s="88"/>
    </row>
    <row r="41" spans="2:88" ht="121.5" customHeight="1" thickBot="1" x14ac:dyDescent="0.3">
      <c r="B41" s="79"/>
      <c r="C41" s="79"/>
      <c r="D41" s="79"/>
      <c r="E41" s="28" t="s">
        <v>30</v>
      </c>
      <c r="F41" s="29"/>
      <c r="G41" s="92"/>
      <c r="H41" s="93"/>
      <c r="I41" s="93"/>
      <c r="J41" s="94"/>
      <c r="K41" s="92"/>
      <c r="L41" s="93"/>
      <c r="M41" s="93"/>
      <c r="N41" s="94"/>
      <c r="O41" s="92"/>
      <c r="P41" s="93"/>
      <c r="Q41" s="93"/>
      <c r="R41" s="94"/>
      <c r="S41" s="92"/>
      <c r="T41" s="93"/>
      <c r="U41" s="93"/>
      <c r="V41" s="94"/>
      <c r="W41" s="89"/>
      <c r="X41" s="90"/>
      <c r="Y41" s="90"/>
      <c r="Z41" s="91"/>
      <c r="AA41" s="89"/>
      <c r="AB41" s="90"/>
      <c r="AC41" s="90"/>
      <c r="AD41" s="91"/>
      <c r="AE41" s="89"/>
      <c r="AF41" s="90"/>
      <c r="AG41" s="90"/>
      <c r="AH41" s="91"/>
      <c r="AI41" s="89"/>
      <c r="AJ41" s="90"/>
      <c r="AK41" s="90"/>
      <c r="AL41" s="91"/>
      <c r="AM41" s="89"/>
      <c r="AN41" s="90"/>
      <c r="AO41" s="90"/>
      <c r="AP41" s="91"/>
      <c r="AQ41" s="89"/>
      <c r="AR41" s="90"/>
      <c r="AS41" s="90"/>
      <c r="AT41" s="91"/>
      <c r="AU41" s="89"/>
      <c r="AV41" s="90"/>
      <c r="AW41" s="90"/>
      <c r="AX41" s="91"/>
      <c r="AY41" s="89"/>
      <c r="AZ41" s="90"/>
      <c r="BA41" s="90"/>
      <c r="BB41" s="91"/>
      <c r="BC41" s="89"/>
      <c r="BD41" s="90"/>
      <c r="BE41" s="90"/>
      <c r="BF41" s="91"/>
      <c r="BG41" s="89"/>
      <c r="BH41" s="90"/>
      <c r="BI41" s="90"/>
      <c r="BJ41" s="91"/>
      <c r="BK41" s="89"/>
      <c r="BL41" s="90"/>
      <c r="BM41" s="90"/>
      <c r="BN41" s="91"/>
      <c r="BO41" s="89"/>
      <c r="BP41" s="90"/>
      <c r="BQ41" s="90"/>
      <c r="BR41" s="91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</row>
    <row r="42" spans="2:88" ht="37.35" customHeight="1" x14ac:dyDescent="0.25">
      <c r="B42" s="30">
        <v>1</v>
      </c>
      <c r="C42" s="31">
        <f>D42/SUM($D$42:$D$57)</f>
        <v>7.8125E-2</v>
      </c>
      <c r="D42" s="32">
        <v>5</v>
      </c>
      <c r="E42" s="83" t="s">
        <v>49</v>
      </c>
      <c r="F42" s="85"/>
      <c r="G42" s="80">
        <v>9</v>
      </c>
      <c r="H42" s="57"/>
      <c r="I42" s="57"/>
      <c r="J42" s="57"/>
      <c r="K42" s="57">
        <v>3</v>
      </c>
      <c r="L42" s="57"/>
      <c r="M42" s="57"/>
      <c r="N42" s="57"/>
      <c r="O42" s="57">
        <v>0</v>
      </c>
      <c r="P42" s="57"/>
      <c r="Q42" s="57"/>
      <c r="R42" s="57"/>
      <c r="S42" s="57">
        <v>1</v>
      </c>
      <c r="T42" s="57"/>
      <c r="U42" s="57"/>
      <c r="V42" s="57"/>
      <c r="W42" s="57">
        <v>0</v>
      </c>
      <c r="X42" s="57"/>
      <c r="Y42" s="57"/>
      <c r="Z42" s="57"/>
      <c r="AA42" s="57">
        <v>1</v>
      </c>
      <c r="AB42" s="57"/>
      <c r="AC42" s="57"/>
      <c r="AD42" s="57"/>
      <c r="AE42" s="57">
        <v>1</v>
      </c>
      <c r="AF42" s="57"/>
      <c r="AG42" s="57"/>
      <c r="AH42" s="57"/>
      <c r="AI42" s="57">
        <v>9</v>
      </c>
      <c r="AJ42" s="57"/>
      <c r="AK42" s="57"/>
      <c r="AL42" s="57"/>
      <c r="AM42" s="57">
        <v>0</v>
      </c>
      <c r="AN42" s="57"/>
      <c r="AO42" s="57"/>
      <c r="AP42" s="57"/>
      <c r="AQ42" s="57">
        <v>9</v>
      </c>
      <c r="AR42" s="57"/>
      <c r="AS42" s="57"/>
      <c r="AT42" s="57"/>
      <c r="AU42" s="57">
        <v>1</v>
      </c>
      <c r="AV42" s="57"/>
      <c r="AW42" s="57"/>
      <c r="AX42" s="57"/>
      <c r="AY42" s="57">
        <v>0</v>
      </c>
      <c r="AZ42" s="57"/>
      <c r="BA42" s="57"/>
      <c r="BB42" s="57"/>
      <c r="BC42" s="57">
        <v>0</v>
      </c>
      <c r="BD42" s="57"/>
      <c r="BE42" s="57"/>
      <c r="BF42" s="57"/>
      <c r="BG42" s="57">
        <v>0</v>
      </c>
      <c r="BH42" s="57"/>
      <c r="BI42" s="57"/>
      <c r="BJ42" s="57"/>
      <c r="BK42" s="57">
        <v>0</v>
      </c>
      <c r="BL42" s="57"/>
      <c r="BM42" s="57"/>
      <c r="BN42" s="57"/>
      <c r="BO42" s="57">
        <v>1</v>
      </c>
      <c r="BP42" s="57"/>
      <c r="BQ42" s="57"/>
      <c r="BR42" s="8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</row>
    <row r="43" spans="2:88" ht="37.35" customHeight="1" x14ac:dyDescent="0.25">
      <c r="B43" s="30">
        <v>2</v>
      </c>
      <c r="C43" s="31">
        <f t="shared" ref="C43:C57" si="0">D43/SUM($D$42:$D$57)</f>
        <v>7.8125E-2</v>
      </c>
      <c r="D43" s="32">
        <v>5</v>
      </c>
      <c r="E43" s="83" t="s">
        <v>50</v>
      </c>
      <c r="F43" s="85"/>
      <c r="G43" s="81">
        <v>9</v>
      </c>
      <c r="H43" s="56"/>
      <c r="I43" s="56"/>
      <c r="J43" s="56"/>
      <c r="K43" s="56">
        <v>9</v>
      </c>
      <c r="L43" s="56"/>
      <c r="M43" s="56"/>
      <c r="N43" s="56"/>
      <c r="O43" s="56">
        <v>0</v>
      </c>
      <c r="P43" s="56"/>
      <c r="Q43" s="56"/>
      <c r="R43" s="56"/>
      <c r="S43" s="56">
        <v>0</v>
      </c>
      <c r="T43" s="56"/>
      <c r="U43" s="56"/>
      <c r="V43" s="56"/>
      <c r="W43" s="56">
        <v>0</v>
      </c>
      <c r="X43" s="56"/>
      <c r="Y43" s="56"/>
      <c r="Z43" s="56"/>
      <c r="AA43" s="56">
        <v>0</v>
      </c>
      <c r="AB43" s="56"/>
      <c r="AC43" s="56"/>
      <c r="AD43" s="56"/>
      <c r="AE43" s="56">
        <v>3</v>
      </c>
      <c r="AF43" s="56"/>
      <c r="AG43" s="56"/>
      <c r="AH43" s="56"/>
      <c r="AI43" s="56">
        <v>3</v>
      </c>
      <c r="AJ43" s="56"/>
      <c r="AK43" s="56"/>
      <c r="AL43" s="56"/>
      <c r="AM43" s="56">
        <v>0</v>
      </c>
      <c r="AN43" s="56"/>
      <c r="AO43" s="56"/>
      <c r="AP43" s="56"/>
      <c r="AQ43" s="56">
        <v>9</v>
      </c>
      <c r="AR43" s="56"/>
      <c r="AS43" s="56"/>
      <c r="AT43" s="56"/>
      <c r="AU43" s="56">
        <v>1</v>
      </c>
      <c r="AV43" s="56"/>
      <c r="AW43" s="56"/>
      <c r="AX43" s="56"/>
      <c r="AY43" s="56">
        <v>0</v>
      </c>
      <c r="AZ43" s="56"/>
      <c r="BA43" s="56"/>
      <c r="BB43" s="56"/>
      <c r="BC43" s="56">
        <v>9</v>
      </c>
      <c r="BD43" s="56"/>
      <c r="BE43" s="56"/>
      <c r="BF43" s="56"/>
      <c r="BG43" s="56">
        <v>0</v>
      </c>
      <c r="BH43" s="56"/>
      <c r="BI43" s="56"/>
      <c r="BJ43" s="56"/>
      <c r="BK43" s="56">
        <v>0</v>
      </c>
      <c r="BL43" s="56"/>
      <c r="BM43" s="56"/>
      <c r="BN43" s="56"/>
      <c r="BO43" s="56">
        <v>0</v>
      </c>
      <c r="BP43" s="56"/>
      <c r="BQ43" s="56"/>
      <c r="BR43" s="65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</row>
    <row r="44" spans="2:88" ht="37.35" customHeight="1" x14ac:dyDescent="0.25">
      <c r="B44" s="30">
        <v>3</v>
      </c>
      <c r="C44" s="31">
        <f t="shared" si="0"/>
        <v>6.25E-2</v>
      </c>
      <c r="D44" s="32">
        <v>4</v>
      </c>
      <c r="E44" s="83" t="s">
        <v>51</v>
      </c>
      <c r="F44" s="85"/>
      <c r="G44" s="81">
        <v>9</v>
      </c>
      <c r="H44" s="56"/>
      <c r="I44" s="56"/>
      <c r="J44" s="56"/>
      <c r="K44" s="56">
        <v>3</v>
      </c>
      <c r="L44" s="56"/>
      <c r="M44" s="56"/>
      <c r="N44" s="56"/>
      <c r="O44" s="56">
        <v>9</v>
      </c>
      <c r="P44" s="56"/>
      <c r="Q44" s="56"/>
      <c r="R44" s="56"/>
      <c r="S44" s="56">
        <v>3</v>
      </c>
      <c r="T44" s="56"/>
      <c r="U44" s="56"/>
      <c r="V44" s="56"/>
      <c r="W44" s="56">
        <v>9</v>
      </c>
      <c r="X44" s="56"/>
      <c r="Y44" s="56"/>
      <c r="Z44" s="56"/>
      <c r="AA44" s="56">
        <v>3</v>
      </c>
      <c r="AB44" s="56"/>
      <c r="AC44" s="56"/>
      <c r="AD44" s="56"/>
      <c r="AE44" s="56">
        <v>3</v>
      </c>
      <c r="AF44" s="56"/>
      <c r="AG44" s="56"/>
      <c r="AH44" s="56"/>
      <c r="AI44" s="56">
        <v>9</v>
      </c>
      <c r="AJ44" s="56"/>
      <c r="AK44" s="56"/>
      <c r="AL44" s="56"/>
      <c r="AM44" s="56">
        <v>1</v>
      </c>
      <c r="AN44" s="56"/>
      <c r="AO44" s="56"/>
      <c r="AP44" s="56"/>
      <c r="AQ44" s="56">
        <v>9</v>
      </c>
      <c r="AR44" s="56"/>
      <c r="AS44" s="56"/>
      <c r="AT44" s="56"/>
      <c r="AU44" s="56">
        <v>9</v>
      </c>
      <c r="AV44" s="56"/>
      <c r="AW44" s="56"/>
      <c r="AX44" s="56"/>
      <c r="AY44" s="56">
        <v>1</v>
      </c>
      <c r="AZ44" s="56"/>
      <c r="BA44" s="56"/>
      <c r="BB44" s="56"/>
      <c r="BC44" s="56">
        <v>3</v>
      </c>
      <c r="BD44" s="56"/>
      <c r="BE44" s="56"/>
      <c r="BF44" s="56"/>
      <c r="BG44" s="56">
        <v>1</v>
      </c>
      <c r="BH44" s="56"/>
      <c r="BI44" s="56"/>
      <c r="BJ44" s="56"/>
      <c r="BK44" s="56">
        <v>9</v>
      </c>
      <c r="BL44" s="56"/>
      <c r="BM44" s="56"/>
      <c r="BN44" s="56"/>
      <c r="BO44" s="56">
        <v>3</v>
      </c>
      <c r="BP44" s="56"/>
      <c r="BQ44" s="56"/>
      <c r="BR44" s="65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</row>
    <row r="45" spans="2:88" ht="37.35" customHeight="1" x14ac:dyDescent="0.25">
      <c r="B45" s="30">
        <v>4</v>
      </c>
      <c r="C45" s="31">
        <f t="shared" si="0"/>
        <v>6.25E-2</v>
      </c>
      <c r="D45" s="32">
        <v>4</v>
      </c>
      <c r="E45" s="83" t="s">
        <v>52</v>
      </c>
      <c r="F45" s="85"/>
      <c r="G45" s="81">
        <v>9</v>
      </c>
      <c r="H45" s="56"/>
      <c r="I45" s="56"/>
      <c r="J45" s="56"/>
      <c r="K45" s="56">
        <v>3</v>
      </c>
      <c r="L45" s="56"/>
      <c r="M45" s="56"/>
      <c r="N45" s="56"/>
      <c r="O45" s="56">
        <v>9</v>
      </c>
      <c r="P45" s="56"/>
      <c r="Q45" s="56"/>
      <c r="R45" s="56"/>
      <c r="S45" s="56">
        <v>9</v>
      </c>
      <c r="T45" s="56"/>
      <c r="U45" s="56"/>
      <c r="V45" s="56"/>
      <c r="W45" s="56">
        <v>9</v>
      </c>
      <c r="X45" s="56"/>
      <c r="Y45" s="56"/>
      <c r="Z45" s="56"/>
      <c r="AA45" s="56">
        <v>3</v>
      </c>
      <c r="AB45" s="56"/>
      <c r="AC45" s="56"/>
      <c r="AD45" s="56"/>
      <c r="AE45" s="56">
        <v>9</v>
      </c>
      <c r="AF45" s="56"/>
      <c r="AG45" s="56"/>
      <c r="AH45" s="56"/>
      <c r="AI45" s="56">
        <v>9</v>
      </c>
      <c r="AJ45" s="56"/>
      <c r="AK45" s="56"/>
      <c r="AL45" s="56"/>
      <c r="AM45" s="56">
        <v>3</v>
      </c>
      <c r="AN45" s="56"/>
      <c r="AO45" s="56"/>
      <c r="AP45" s="56"/>
      <c r="AQ45" s="56">
        <v>9</v>
      </c>
      <c r="AR45" s="56"/>
      <c r="AS45" s="56"/>
      <c r="AT45" s="56"/>
      <c r="AU45" s="56">
        <v>9</v>
      </c>
      <c r="AV45" s="56"/>
      <c r="AW45" s="56"/>
      <c r="AX45" s="56"/>
      <c r="AY45" s="56">
        <v>3</v>
      </c>
      <c r="AZ45" s="56"/>
      <c r="BA45" s="56"/>
      <c r="BB45" s="56"/>
      <c r="BC45" s="56">
        <v>9</v>
      </c>
      <c r="BD45" s="56"/>
      <c r="BE45" s="56"/>
      <c r="BF45" s="56"/>
      <c r="BG45" s="56">
        <v>1</v>
      </c>
      <c r="BH45" s="56"/>
      <c r="BI45" s="56"/>
      <c r="BJ45" s="56"/>
      <c r="BK45" s="56">
        <v>9</v>
      </c>
      <c r="BL45" s="56"/>
      <c r="BM45" s="56"/>
      <c r="BN45" s="56"/>
      <c r="BO45" s="56">
        <v>1</v>
      </c>
      <c r="BP45" s="56"/>
      <c r="BQ45" s="56"/>
      <c r="BR45" s="6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</row>
    <row r="46" spans="2:88" ht="37.35" customHeight="1" x14ac:dyDescent="0.25">
      <c r="B46" s="30">
        <v>5</v>
      </c>
      <c r="C46" s="31">
        <f t="shared" si="0"/>
        <v>7.8125E-2</v>
      </c>
      <c r="D46" s="32">
        <v>5</v>
      </c>
      <c r="E46" s="99" t="s">
        <v>53</v>
      </c>
      <c r="F46" s="100"/>
      <c r="G46" s="95">
        <v>3</v>
      </c>
      <c r="H46" s="56"/>
      <c r="I46" s="56"/>
      <c r="J46" s="56"/>
      <c r="K46" s="56">
        <v>0</v>
      </c>
      <c r="L46" s="56"/>
      <c r="M46" s="56"/>
      <c r="N46" s="56"/>
      <c r="O46" s="56">
        <v>9</v>
      </c>
      <c r="P46" s="56"/>
      <c r="Q46" s="56"/>
      <c r="R46" s="56"/>
      <c r="S46" s="56">
        <v>0</v>
      </c>
      <c r="T46" s="56"/>
      <c r="U46" s="56"/>
      <c r="V46" s="56"/>
      <c r="W46" s="56">
        <v>9</v>
      </c>
      <c r="X46" s="56"/>
      <c r="Y46" s="56"/>
      <c r="Z46" s="56"/>
      <c r="AA46" s="56">
        <v>1</v>
      </c>
      <c r="AB46" s="56"/>
      <c r="AC46" s="56"/>
      <c r="AD46" s="56"/>
      <c r="AE46" s="56">
        <v>3</v>
      </c>
      <c r="AF46" s="56"/>
      <c r="AG46" s="56"/>
      <c r="AH46" s="56"/>
      <c r="AI46" s="56">
        <v>3</v>
      </c>
      <c r="AJ46" s="56"/>
      <c r="AK46" s="56"/>
      <c r="AL46" s="56"/>
      <c r="AM46" s="56">
        <v>1</v>
      </c>
      <c r="AN46" s="56"/>
      <c r="AO46" s="56"/>
      <c r="AP46" s="56"/>
      <c r="AQ46" s="56">
        <v>1</v>
      </c>
      <c r="AR46" s="56"/>
      <c r="AS46" s="56"/>
      <c r="AT46" s="56"/>
      <c r="AU46" s="56">
        <v>9</v>
      </c>
      <c r="AV46" s="56"/>
      <c r="AW46" s="56"/>
      <c r="AX46" s="56"/>
      <c r="AY46" s="56">
        <v>0</v>
      </c>
      <c r="AZ46" s="56"/>
      <c r="BA46" s="56"/>
      <c r="BB46" s="56"/>
      <c r="BC46" s="56">
        <v>0</v>
      </c>
      <c r="BD46" s="56"/>
      <c r="BE46" s="56"/>
      <c r="BF46" s="56"/>
      <c r="BG46" s="56">
        <v>0</v>
      </c>
      <c r="BH46" s="56"/>
      <c r="BI46" s="56"/>
      <c r="BJ46" s="56"/>
      <c r="BK46" s="56">
        <v>0</v>
      </c>
      <c r="BL46" s="56"/>
      <c r="BM46" s="56"/>
      <c r="BN46" s="56"/>
      <c r="BO46" s="56">
        <v>0</v>
      </c>
      <c r="BP46" s="56"/>
      <c r="BQ46" s="56"/>
      <c r="BR46" s="65"/>
    </row>
    <row r="47" spans="2:88" ht="37.35" customHeight="1" x14ac:dyDescent="0.25">
      <c r="B47" s="30">
        <v>6</v>
      </c>
      <c r="C47" s="31">
        <f t="shared" si="0"/>
        <v>6.25E-2</v>
      </c>
      <c r="D47" s="32">
        <v>4</v>
      </c>
      <c r="E47" s="83" t="s">
        <v>54</v>
      </c>
      <c r="F47" s="85"/>
      <c r="G47" s="81">
        <v>0</v>
      </c>
      <c r="H47" s="56"/>
      <c r="I47" s="56"/>
      <c r="J47" s="56"/>
      <c r="K47" s="56">
        <v>0</v>
      </c>
      <c r="L47" s="56"/>
      <c r="M47" s="56"/>
      <c r="N47" s="56"/>
      <c r="O47" s="56">
        <v>3</v>
      </c>
      <c r="P47" s="56"/>
      <c r="Q47" s="56"/>
      <c r="R47" s="56"/>
      <c r="S47" s="56">
        <v>0</v>
      </c>
      <c r="T47" s="56"/>
      <c r="U47" s="56"/>
      <c r="V47" s="56"/>
      <c r="W47" s="56">
        <v>3</v>
      </c>
      <c r="X47" s="56"/>
      <c r="Y47" s="56"/>
      <c r="Z47" s="56"/>
      <c r="AA47" s="56">
        <v>9</v>
      </c>
      <c r="AB47" s="56"/>
      <c r="AC47" s="56"/>
      <c r="AD47" s="56"/>
      <c r="AE47" s="56">
        <v>1</v>
      </c>
      <c r="AF47" s="56"/>
      <c r="AG47" s="56"/>
      <c r="AH47" s="56"/>
      <c r="AI47" s="56">
        <v>1</v>
      </c>
      <c r="AJ47" s="56"/>
      <c r="AK47" s="56"/>
      <c r="AL47" s="56"/>
      <c r="AM47" s="56">
        <v>0</v>
      </c>
      <c r="AN47" s="56"/>
      <c r="AO47" s="56"/>
      <c r="AP47" s="56"/>
      <c r="AQ47" s="56">
        <v>0</v>
      </c>
      <c r="AR47" s="56"/>
      <c r="AS47" s="56"/>
      <c r="AT47" s="56"/>
      <c r="AU47" s="56">
        <v>9</v>
      </c>
      <c r="AV47" s="56"/>
      <c r="AW47" s="56"/>
      <c r="AX47" s="56"/>
      <c r="AY47" s="56">
        <v>0</v>
      </c>
      <c r="AZ47" s="56"/>
      <c r="BA47" s="56"/>
      <c r="BB47" s="56"/>
      <c r="BC47" s="56">
        <v>0</v>
      </c>
      <c r="BD47" s="56"/>
      <c r="BE47" s="56"/>
      <c r="BF47" s="56"/>
      <c r="BG47" s="56">
        <v>0</v>
      </c>
      <c r="BH47" s="56"/>
      <c r="BI47" s="56"/>
      <c r="BJ47" s="56"/>
      <c r="BK47" s="56">
        <v>0</v>
      </c>
      <c r="BL47" s="56"/>
      <c r="BM47" s="56"/>
      <c r="BN47" s="56"/>
      <c r="BO47" s="56">
        <v>3</v>
      </c>
      <c r="BP47" s="56"/>
      <c r="BQ47" s="56"/>
      <c r="BR47" s="65"/>
    </row>
    <row r="48" spans="2:88" ht="37.35" customHeight="1" x14ac:dyDescent="0.25">
      <c r="B48" s="30">
        <v>7</v>
      </c>
      <c r="C48" s="31">
        <f t="shared" si="0"/>
        <v>6.25E-2</v>
      </c>
      <c r="D48" s="32">
        <v>4</v>
      </c>
      <c r="E48" s="83" t="s">
        <v>55</v>
      </c>
      <c r="F48" s="85"/>
      <c r="G48" s="81">
        <v>0</v>
      </c>
      <c r="H48" s="56"/>
      <c r="I48" s="56"/>
      <c r="J48" s="56"/>
      <c r="K48" s="56">
        <v>0</v>
      </c>
      <c r="L48" s="56"/>
      <c r="M48" s="56"/>
      <c r="N48" s="56"/>
      <c r="O48" s="56">
        <v>0</v>
      </c>
      <c r="P48" s="56"/>
      <c r="Q48" s="56"/>
      <c r="R48" s="56"/>
      <c r="S48" s="56">
        <v>0</v>
      </c>
      <c r="T48" s="56"/>
      <c r="U48" s="56"/>
      <c r="V48" s="56"/>
      <c r="W48" s="56">
        <v>0</v>
      </c>
      <c r="X48" s="56"/>
      <c r="Y48" s="56"/>
      <c r="Z48" s="56"/>
      <c r="AA48" s="56">
        <v>0</v>
      </c>
      <c r="AB48" s="56"/>
      <c r="AC48" s="56"/>
      <c r="AD48" s="56"/>
      <c r="AE48" s="56">
        <v>9</v>
      </c>
      <c r="AF48" s="56"/>
      <c r="AG48" s="56"/>
      <c r="AH48" s="56"/>
      <c r="AI48" s="56">
        <v>0</v>
      </c>
      <c r="AJ48" s="56"/>
      <c r="AK48" s="56"/>
      <c r="AL48" s="56"/>
      <c r="AM48" s="56">
        <v>0</v>
      </c>
      <c r="AN48" s="56"/>
      <c r="AO48" s="56"/>
      <c r="AP48" s="56"/>
      <c r="AQ48" s="56">
        <v>0</v>
      </c>
      <c r="AR48" s="56"/>
      <c r="AS48" s="56"/>
      <c r="AT48" s="56"/>
      <c r="AU48" s="56">
        <v>3</v>
      </c>
      <c r="AV48" s="56"/>
      <c r="AW48" s="56"/>
      <c r="AX48" s="56"/>
      <c r="AY48" s="56">
        <v>0</v>
      </c>
      <c r="AZ48" s="56"/>
      <c r="BA48" s="56"/>
      <c r="BB48" s="56"/>
      <c r="BC48" s="56">
        <v>0</v>
      </c>
      <c r="BD48" s="56"/>
      <c r="BE48" s="56"/>
      <c r="BF48" s="56"/>
      <c r="BG48" s="56">
        <v>0</v>
      </c>
      <c r="BH48" s="56"/>
      <c r="BI48" s="56"/>
      <c r="BJ48" s="56"/>
      <c r="BK48" s="56">
        <v>0</v>
      </c>
      <c r="BL48" s="56"/>
      <c r="BM48" s="56"/>
      <c r="BN48" s="56"/>
      <c r="BO48" s="56">
        <v>0</v>
      </c>
      <c r="BP48" s="56"/>
      <c r="BQ48" s="56"/>
      <c r="BR48" s="65"/>
    </row>
    <row r="49" spans="2:70" ht="37.35" customHeight="1" x14ac:dyDescent="0.25">
      <c r="B49" s="30">
        <v>8</v>
      </c>
      <c r="C49" s="31">
        <f t="shared" si="0"/>
        <v>4.6875E-2</v>
      </c>
      <c r="D49" s="32">
        <v>3</v>
      </c>
      <c r="E49" s="83" t="s">
        <v>56</v>
      </c>
      <c r="F49" s="85"/>
      <c r="G49" s="81">
        <v>0</v>
      </c>
      <c r="H49" s="56"/>
      <c r="I49" s="56"/>
      <c r="J49" s="56"/>
      <c r="K49" s="56">
        <v>0</v>
      </c>
      <c r="L49" s="56"/>
      <c r="M49" s="56"/>
      <c r="N49" s="56"/>
      <c r="O49" s="56">
        <v>0</v>
      </c>
      <c r="P49" s="56"/>
      <c r="Q49" s="56"/>
      <c r="R49" s="56"/>
      <c r="S49" s="56">
        <v>0</v>
      </c>
      <c r="T49" s="56"/>
      <c r="U49" s="56"/>
      <c r="V49" s="56"/>
      <c r="W49" s="56">
        <v>3</v>
      </c>
      <c r="X49" s="56"/>
      <c r="Y49" s="56"/>
      <c r="Z49" s="56"/>
      <c r="AA49" s="56">
        <v>0</v>
      </c>
      <c r="AB49" s="56"/>
      <c r="AC49" s="56"/>
      <c r="AD49" s="56"/>
      <c r="AE49" s="56">
        <v>0</v>
      </c>
      <c r="AF49" s="56"/>
      <c r="AG49" s="56"/>
      <c r="AH49" s="56"/>
      <c r="AI49" s="56">
        <v>0</v>
      </c>
      <c r="AJ49" s="56"/>
      <c r="AK49" s="56"/>
      <c r="AL49" s="56"/>
      <c r="AM49" s="56">
        <v>0</v>
      </c>
      <c r="AN49" s="56"/>
      <c r="AO49" s="56"/>
      <c r="AP49" s="56"/>
      <c r="AQ49" s="56">
        <v>0</v>
      </c>
      <c r="AR49" s="56"/>
      <c r="AS49" s="56"/>
      <c r="AT49" s="56"/>
      <c r="AU49" s="56">
        <v>3</v>
      </c>
      <c r="AV49" s="56"/>
      <c r="AW49" s="56"/>
      <c r="AX49" s="56"/>
      <c r="AY49" s="56">
        <v>0</v>
      </c>
      <c r="AZ49" s="56"/>
      <c r="BA49" s="56"/>
      <c r="BB49" s="56"/>
      <c r="BC49" s="56">
        <v>0</v>
      </c>
      <c r="BD49" s="56"/>
      <c r="BE49" s="56"/>
      <c r="BF49" s="56"/>
      <c r="BG49" s="56">
        <v>0</v>
      </c>
      <c r="BH49" s="56"/>
      <c r="BI49" s="56"/>
      <c r="BJ49" s="56"/>
      <c r="BK49" s="56">
        <v>0</v>
      </c>
      <c r="BL49" s="56"/>
      <c r="BM49" s="56"/>
      <c r="BN49" s="56"/>
      <c r="BO49" s="56">
        <v>0</v>
      </c>
      <c r="BP49" s="56"/>
      <c r="BQ49" s="56"/>
      <c r="BR49" s="65"/>
    </row>
    <row r="50" spans="2:70" ht="42" customHeight="1" x14ac:dyDescent="0.25">
      <c r="B50" s="30">
        <v>9</v>
      </c>
      <c r="C50" s="31">
        <f t="shared" si="0"/>
        <v>6.25E-2</v>
      </c>
      <c r="D50" s="32">
        <v>4</v>
      </c>
      <c r="E50" s="96" t="s">
        <v>57</v>
      </c>
      <c r="F50" s="98"/>
      <c r="G50" s="81">
        <v>1</v>
      </c>
      <c r="H50" s="56"/>
      <c r="I50" s="56"/>
      <c r="J50" s="56"/>
      <c r="K50" s="56">
        <v>9</v>
      </c>
      <c r="L50" s="56"/>
      <c r="M50" s="56"/>
      <c r="N50" s="56"/>
      <c r="O50" s="56">
        <v>0</v>
      </c>
      <c r="P50" s="56"/>
      <c r="Q50" s="56"/>
      <c r="R50" s="56"/>
      <c r="S50" s="56">
        <v>0</v>
      </c>
      <c r="T50" s="56"/>
      <c r="U50" s="56"/>
      <c r="V50" s="56"/>
      <c r="W50" s="56">
        <v>0</v>
      </c>
      <c r="X50" s="56"/>
      <c r="Y50" s="56"/>
      <c r="Z50" s="56"/>
      <c r="AA50" s="56">
        <v>0</v>
      </c>
      <c r="AB50" s="56"/>
      <c r="AC50" s="56"/>
      <c r="AD50" s="56"/>
      <c r="AE50" s="56">
        <v>3</v>
      </c>
      <c r="AF50" s="56"/>
      <c r="AG50" s="56"/>
      <c r="AH50" s="56"/>
      <c r="AI50" s="56">
        <v>3</v>
      </c>
      <c r="AJ50" s="56"/>
      <c r="AK50" s="56"/>
      <c r="AL50" s="56"/>
      <c r="AM50" s="56">
        <v>9</v>
      </c>
      <c r="AN50" s="56"/>
      <c r="AO50" s="56"/>
      <c r="AP50" s="56"/>
      <c r="AQ50" s="56">
        <v>0</v>
      </c>
      <c r="AR50" s="56"/>
      <c r="AS50" s="56"/>
      <c r="AT50" s="56"/>
      <c r="AU50" s="56">
        <v>9</v>
      </c>
      <c r="AV50" s="56"/>
      <c r="AW50" s="56"/>
      <c r="AX50" s="56"/>
      <c r="AY50" s="56">
        <v>0</v>
      </c>
      <c r="AZ50" s="56"/>
      <c r="BA50" s="56"/>
      <c r="BB50" s="56"/>
      <c r="BC50" s="56">
        <v>3</v>
      </c>
      <c r="BD50" s="56"/>
      <c r="BE50" s="56"/>
      <c r="BF50" s="56"/>
      <c r="BG50" s="56">
        <v>0</v>
      </c>
      <c r="BH50" s="56"/>
      <c r="BI50" s="56"/>
      <c r="BJ50" s="56"/>
      <c r="BK50" s="56">
        <v>0</v>
      </c>
      <c r="BL50" s="56"/>
      <c r="BM50" s="56"/>
      <c r="BN50" s="56"/>
      <c r="BO50" s="56">
        <v>0</v>
      </c>
      <c r="BP50" s="56"/>
      <c r="BQ50" s="56"/>
      <c r="BR50" s="65"/>
    </row>
    <row r="51" spans="2:70" ht="50.1" customHeight="1" x14ac:dyDescent="0.25">
      <c r="B51" s="24">
        <v>10</v>
      </c>
      <c r="C51" s="31">
        <f t="shared" si="0"/>
        <v>7.8125E-2</v>
      </c>
      <c r="D51" s="33">
        <v>5</v>
      </c>
      <c r="E51" s="78" t="s">
        <v>72</v>
      </c>
      <c r="F51" s="77"/>
      <c r="G51" s="81">
        <v>9</v>
      </c>
      <c r="H51" s="56"/>
      <c r="I51" s="56"/>
      <c r="J51" s="56"/>
      <c r="K51" s="56">
        <v>3</v>
      </c>
      <c r="L51" s="56"/>
      <c r="M51" s="56"/>
      <c r="N51" s="56"/>
      <c r="O51" s="56">
        <v>0</v>
      </c>
      <c r="P51" s="56"/>
      <c r="Q51" s="56"/>
      <c r="R51" s="56"/>
      <c r="S51" s="56">
        <v>0</v>
      </c>
      <c r="T51" s="56"/>
      <c r="U51" s="56"/>
      <c r="V51" s="56"/>
      <c r="W51" s="56">
        <v>0</v>
      </c>
      <c r="X51" s="56"/>
      <c r="Y51" s="56"/>
      <c r="Z51" s="56"/>
      <c r="AA51" s="56">
        <v>0</v>
      </c>
      <c r="AB51" s="56"/>
      <c r="AC51" s="56"/>
      <c r="AD51" s="56"/>
      <c r="AE51" s="56">
        <v>3</v>
      </c>
      <c r="AF51" s="56"/>
      <c r="AG51" s="56"/>
      <c r="AH51" s="56"/>
      <c r="AI51" s="56">
        <v>9</v>
      </c>
      <c r="AJ51" s="56"/>
      <c r="AK51" s="56"/>
      <c r="AL51" s="56"/>
      <c r="AM51" s="56">
        <v>3</v>
      </c>
      <c r="AN51" s="56"/>
      <c r="AO51" s="56"/>
      <c r="AP51" s="56"/>
      <c r="AQ51" s="56">
        <v>0</v>
      </c>
      <c r="AR51" s="56"/>
      <c r="AS51" s="56"/>
      <c r="AT51" s="56"/>
      <c r="AU51" s="56">
        <v>3</v>
      </c>
      <c r="AV51" s="56"/>
      <c r="AW51" s="56"/>
      <c r="AX51" s="56"/>
      <c r="AY51" s="56">
        <v>0</v>
      </c>
      <c r="AZ51" s="56"/>
      <c r="BA51" s="56"/>
      <c r="BB51" s="56"/>
      <c r="BC51" s="56">
        <v>9</v>
      </c>
      <c r="BD51" s="56"/>
      <c r="BE51" s="56"/>
      <c r="BF51" s="56"/>
      <c r="BG51" s="56">
        <v>0</v>
      </c>
      <c r="BH51" s="56"/>
      <c r="BI51" s="56"/>
      <c r="BJ51" s="56"/>
      <c r="BK51" s="56">
        <v>3</v>
      </c>
      <c r="BL51" s="56"/>
      <c r="BM51" s="56"/>
      <c r="BN51" s="56"/>
      <c r="BO51" s="56">
        <v>9</v>
      </c>
      <c r="BP51" s="56"/>
      <c r="BQ51" s="56"/>
      <c r="BR51" s="65"/>
    </row>
    <row r="52" spans="2:70" ht="56.1" customHeight="1" x14ac:dyDescent="0.25">
      <c r="B52" s="24">
        <v>11</v>
      </c>
      <c r="C52" s="31">
        <f t="shared" si="0"/>
        <v>7.8125E-2</v>
      </c>
      <c r="D52" s="33">
        <v>5</v>
      </c>
      <c r="E52" s="96" t="s">
        <v>71</v>
      </c>
      <c r="F52" s="97"/>
      <c r="G52" s="81">
        <v>0</v>
      </c>
      <c r="H52" s="56"/>
      <c r="I52" s="56"/>
      <c r="J52" s="56"/>
      <c r="K52" s="56">
        <v>0</v>
      </c>
      <c r="L52" s="56"/>
      <c r="M52" s="56"/>
      <c r="N52" s="56"/>
      <c r="O52" s="56">
        <v>3</v>
      </c>
      <c r="P52" s="56"/>
      <c r="Q52" s="56"/>
      <c r="R52" s="56"/>
      <c r="S52" s="56">
        <v>9</v>
      </c>
      <c r="T52" s="56"/>
      <c r="U52" s="56"/>
      <c r="V52" s="56"/>
      <c r="W52" s="56">
        <v>0</v>
      </c>
      <c r="X52" s="56"/>
      <c r="Y52" s="56"/>
      <c r="Z52" s="56"/>
      <c r="AA52" s="56">
        <v>1</v>
      </c>
      <c r="AB52" s="56"/>
      <c r="AC52" s="56"/>
      <c r="AD52" s="56"/>
      <c r="AE52" s="56">
        <v>9</v>
      </c>
      <c r="AF52" s="56"/>
      <c r="AG52" s="56"/>
      <c r="AH52" s="56"/>
      <c r="AI52" s="56">
        <v>3</v>
      </c>
      <c r="AJ52" s="56"/>
      <c r="AK52" s="56"/>
      <c r="AL52" s="56"/>
      <c r="AM52" s="56">
        <v>3</v>
      </c>
      <c r="AN52" s="56"/>
      <c r="AO52" s="56"/>
      <c r="AP52" s="56"/>
      <c r="AQ52" s="56">
        <v>9</v>
      </c>
      <c r="AR52" s="56"/>
      <c r="AS52" s="56"/>
      <c r="AT52" s="56"/>
      <c r="AU52" s="56">
        <v>9</v>
      </c>
      <c r="AV52" s="56"/>
      <c r="AW52" s="56"/>
      <c r="AX52" s="56"/>
      <c r="AY52" s="56">
        <v>9</v>
      </c>
      <c r="AZ52" s="56"/>
      <c r="BA52" s="56"/>
      <c r="BB52" s="56"/>
      <c r="BC52" s="56">
        <v>9</v>
      </c>
      <c r="BD52" s="56"/>
      <c r="BE52" s="56"/>
      <c r="BF52" s="56"/>
      <c r="BG52" s="56">
        <v>0</v>
      </c>
      <c r="BH52" s="56"/>
      <c r="BI52" s="56"/>
      <c r="BJ52" s="56"/>
      <c r="BK52" s="56">
        <v>3</v>
      </c>
      <c r="BL52" s="56"/>
      <c r="BM52" s="56"/>
      <c r="BN52" s="56"/>
      <c r="BO52" s="56">
        <v>9</v>
      </c>
      <c r="BP52" s="56"/>
      <c r="BQ52" s="56"/>
      <c r="BR52" s="65"/>
    </row>
    <row r="53" spans="2:70" ht="57" customHeight="1" x14ac:dyDescent="0.25">
      <c r="B53" s="24">
        <v>12</v>
      </c>
      <c r="C53" s="31">
        <f t="shared" si="0"/>
        <v>6.25E-2</v>
      </c>
      <c r="D53" s="33">
        <v>4</v>
      </c>
      <c r="E53" s="78" t="s">
        <v>58</v>
      </c>
      <c r="F53" s="77"/>
      <c r="G53" s="81">
        <v>3</v>
      </c>
      <c r="H53" s="56"/>
      <c r="I53" s="56"/>
      <c r="J53" s="56"/>
      <c r="K53" s="56">
        <v>9</v>
      </c>
      <c r="L53" s="56"/>
      <c r="M53" s="56"/>
      <c r="N53" s="56"/>
      <c r="O53" s="56">
        <v>9</v>
      </c>
      <c r="P53" s="56"/>
      <c r="Q53" s="56"/>
      <c r="R53" s="56"/>
      <c r="S53" s="56">
        <v>9</v>
      </c>
      <c r="T53" s="56"/>
      <c r="U53" s="56"/>
      <c r="V53" s="56"/>
      <c r="W53" s="56">
        <v>3</v>
      </c>
      <c r="X53" s="56"/>
      <c r="Y53" s="56"/>
      <c r="Z53" s="56"/>
      <c r="AA53" s="56">
        <v>1</v>
      </c>
      <c r="AB53" s="56"/>
      <c r="AC53" s="56"/>
      <c r="AD53" s="56"/>
      <c r="AE53" s="56">
        <v>9</v>
      </c>
      <c r="AF53" s="56"/>
      <c r="AG53" s="56"/>
      <c r="AH53" s="56"/>
      <c r="AI53" s="56">
        <v>9</v>
      </c>
      <c r="AJ53" s="56"/>
      <c r="AK53" s="56"/>
      <c r="AL53" s="56"/>
      <c r="AM53" s="56">
        <v>9</v>
      </c>
      <c r="AN53" s="56"/>
      <c r="AO53" s="56"/>
      <c r="AP53" s="56"/>
      <c r="AQ53" s="56">
        <v>9</v>
      </c>
      <c r="AR53" s="56"/>
      <c r="AS53" s="56"/>
      <c r="AT53" s="56"/>
      <c r="AU53" s="56">
        <v>9</v>
      </c>
      <c r="AV53" s="56"/>
      <c r="AW53" s="56"/>
      <c r="AX53" s="56"/>
      <c r="AY53" s="56">
        <v>9</v>
      </c>
      <c r="AZ53" s="56"/>
      <c r="BA53" s="56"/>
      <c r="BB53" s="56"/>
      <c r="BC53" s="56">
        <v>3</v>
      </c>
      <c r="BD53" s="56"/>
      <c r="BE53" s="56"/>
      <c r="BF53" s="56"/>
      <c r="BG53" s="56">
        <v>0</v>
      </c>
      <c r="BH53" s="56"/>
      <c r="BI53" s="56"/>
      <c r="BJ53" s="56"/>
      <c r="BK53" s="56">
        <v>9</v>
      </c>
      <c r="BL53" s="56"/>
      <c r="BM53" s="56"/>
      <c r="BN53" s="56"/>
      <c r="BO53" s="56">
        <v>9</v>
      </c>
      <c r="BP53" s="56"/>
      <c r="BQ53" s="56"/>
      <c r="BR53" s="65"/>
    </row>
    <row r="54" spans="2:70" ht="37.35" customHeight="1" x14ac:dyDescent="0.25">
      <c r="B54" s="24">
        <v>13</v>
      </c>
      <c r="C54" s="31">
        <f t="shared" si="0"/>
        <v>4.6875E-2</v>
      </c>
      <c r="D54" s="33">
        <v>3</v>
      </c>
      <c r="E54" s="76" t="s">
        <v>59</v>
      </c>
      <c r="F54" s="77"/>
      <c r="G54" s="81">
        <v>0</v>
      </c>
      <c r="H54" s="56"/>
      <c r="I54" s="56"/>
      <c r="J54" s="56"/>
      <c r="K54" s="56">
        <v>3</v>
      </c>
      <c r="L54" s="56"/>
      <c r="M54" s="56"/>
      <c r="N54" s="56"/>
      <c r="O54" s="56">
        <v>9</v>
      </c>
      <c r="P54" s="56"/>
      <c r="Q54" s="56"/>
      <c r="R54" s="56"/>
      <c r="S54" s="56">
        <v>9</v>
      </c>
      <c r="T54" s="56"/>
      <c r="U54" s="56"/>
      <c r="V54" s="56"/>
      <c r="W54" s="56">
        <v>3</v>
      </c>
      <c r="X54" s="56"/>
      <c r="Y54" s="56"/>
      <c r="Z54" s="56"/>
      <c r="AA54" s="56">
        <v>9</v>
      </c>
      <c r="AB54" s="56"/>
      <c r="AC54" s="56"/>
      <c r="AD54" s="56"/>
      <c r="AE54" s="56">
        <v>3</v>
      </c>
      <c r="AF54" s="56"/>
      <c r="AG54" s="56"/>
      <c r="AH54" s="56"/>
      <c r="AI54" s="56">
        <v>3</v>
      </c>
      <c r="AJ54" s="56"/>
      <c r="AK54" s="56"/>
      <c r="AL54" s="56"/>
      <c r="AM54" s="56">
        <v>3</v>
      </c>
      <c r="AN54" s="56"/>
      <c r="AO54" s="56"/>
      <c r="AP54" s="56"/>
      <c r="AQ54" s="56">
        <v>9</v>
      </c>
      <c r="AR54" s="56"/>
      <c r="AS54" s="56"/>
      <c r="AT54" s="56"/>
      <c r="AU54" s="56">
        <v>3</v>
      </c>
      <c r="AV54" s="56"/>
      <c r="AW54" s="56"/>
      <c r="AX54" s="56"/>
      <c r="AY54" s="56">
        <v>9</v>
      </c>
      <c r="AZ54" s="56"/>
      <c r="BA54" s="56"/>
      <c r="BB54" s="56"/>
      <c r="BC54" s="56">
        <v>0</v>
      </c>
      <c r="BD54" s="56"/>
      <c r="BE54" s="56"/>
      <c r="BF54" s="56"/>
      <c r="BG54" s="56">
        <v>9</v>
      </c>
      <c r="BH54" s="56"/>
      <c r="BI54" s="56"/>
      <c r="BJ54" s="56"/>
      <c r="BK54" s="56">
        <v>9</v>
      </c>
      <c r="BL54" s="56"/>
      <c r="BM54" s="56"/>
      <c r="BN54" s="56"/>
      <c r="BO54" s="56">
        <v>9</v>
      </c>
      <c r="BP54" s="56"/>
      <c r="BQ54" s="56"/>
      <c r="BR54" s="65"/>
    </row>
    <row r="55" spans="2:70" ht="37.35" customHeight="1" x14ac:dyDescent="0.25">
      <c r="B55" s="24">
        <v>14</v>
      </c>
      <c r="C55" s="31">
        <f t="shared" si="0"/>
        <v>6.25E-2</v>
      </c>
      <c r="D55" s="33">
        <v>4</v>
      </c>
      <c r="E55" s="78" t="s">
        <v>73</v>
      </c>
      <c r="F55" s="77"/>
      <c r="G55" s="81">
        <v>9</v>
      </c>
      <c r="H55" s="56"/>
      <c r="I55" s="56"/>
      <c r="J55" s="56"/>
      <c r="K55" s="56">
        <v>1</v>
      </c>
      <c r="L55" s="56"/>
      <c r="M55" s="56"/>
      <c r="N55" s="56"/>
      <c r="O55" s="56">
        <v>1</v>
      </c>
      <c r="P55" s="56"/>
      <c r="Q55" s="56"/>
      <c r="R55" s="56"/>
      <c r="S55" s="56">
        <v>3</v>
      </c>
      <c r="T55" s="56"/>
      <c r="U55" s="56"/>
      <c r="V55" s="56"/>
      <c r="W55" s="56">
        <v>1</v>
      </c>
      <c r="X55" s="56"/>
      <c r="Y55" s="56"/>
      <c r="Z55" s="56"/>
      <c r="AA55" s="56">
        <v>1</v>
      </c>
      <c r="AB55" s="56"/>
      <c r="AC55" s="56"/>
      <c r="AD55" s="56"/>
      <c r="AE55" s="56">
        <v>9</v>
      </c>
      <c r="AF55" s="56"/>
      <c r="AG55" s="56"/>
      <c r="AH55" s="56"/>
      <c r="AI55" s="56">
        <v>9</v>
      </c>
      <c r="AJ55" s="56"/>
      <c r="AK55" s="56"/>
      <c r="AL55" s="56"/>
      <c r="AM55" s="56">
        <v>3</v>
      </c>
      <c r="AN55" s="56"/>
      <c r="AO55" s="56"/>
      <c r="AP55" s="56"/>
      <c r="AQ55" s="56">
        <v>9</v>
      </c>
      <c r="AR55" s="56"/>
      <c r="AS55" s="56"/>
      <c r="AT55" s="56"/>
      <c r="AU55" s="56">
        <v>9</v>
      </c>
      <c r="AV55" s="56"/>
      <c r="AW55" s="56"/>
      <c r="AX55" s="56"/>
      <c r="AY55" s="56">
        <v>9</v>
      </c>
      <c r="AZ55" s="56"/>
      <c r="BA55" s="56"/>
      <c r="BB55" s="56"/>
      <c r="BC55" s="56">
        <v>9</v>
      </c>
      <c r="BD55" s="56"/>
      <c r="BE55" s="56"/>
      <c r="BF55" s="56"/>
      <c r="BG55" s="56">
        <v>0</v>
      </c>
      <c r="BH55" s="56"/>
      <c r="BI55" s="56"/>
      <c r="BJ55" s="56"/>
      <c r="BK55" s="56">
        <v>1</v>
      </c>
      <c r="BL55" s="56"/>
      <c r="BM55" s="56"/>
      <c r="BN55" s="56"/>
      <c r="BO55" s="56">
        <v>0</v>
      </c>
      <c r="BP55" s="56"/>
      <c r="BQ55" s="56"/>
      <c r="BR55" s="65"/>
    </row>
    <row r="56" spans="2:70" ht="37.35" customHeight="1" x14ac:dyDescent="0.25">
      <c r="B56" s="24">
        <v>15</v>
      </c>
      <c r="C56" s="31">
        <f t="shared" si="0"/>
        <v>6.25E-2</v>
      </c>
      <c r="D56" s="33">
        <v>4</v>
      </c>
      <c r="E56" s="78" t="s">
        <v>74</v>
      </c>
      <c r="F56" s="77"/>
      <c r="G56" s="81">
        <v>3</v>
      </c>
      <c r="H56" s="56"/>
      <c r="I56" s="56"/>
      <c r="J56" s="56"/>
      <c r="K56" s="56">
        <v>1</v>
      </c>
      <c r="L56" s="56"/>
      <c r="M56" s="56"/>
      <c r="N56" s="56"/>
      <c r="O56" s="56">
        <v>1</v>
      </c>
      <c r="P56" s="56"/>
      <c r="Q56" s="56"/>
      <c r="R56" s="56"/>
      <c r="S56" s="56">
        <v>9</v>
      </c>
      <c r="T56" s="56"/>
      <c r="U56" s="56"/>
      <c r="V56" s="56"/>
      <c r="W56" s="56">
        <v>3</v>
      </c>
      <c r="X56" s="56"/>
      <c r="Y56" s="56"/>
      <c r="Z56" s="56"/>
      <c r="AA56" s="56">
        <v>3</v>
      </c>
      <c r="AB56" s="56"/>
      <c r="AC56" s="56"/>
      <c r="AD56" s="56"/>
      <c r="AE56" s="56">
        <v>1</v>
      </c>
      <c r="AF56" s="56"/>
      <c r="AG56" s="56"/>
      <c r="AH56" s="56"/>
      <c r="AI56" s="56">
        <v>3</v>
      </c>
      <c r="AJ56" s="56"/>
      <c r="AK56" s="56"/>
      <c r="AL56" s="56"/>
      <c r="AM56" s="56">
        <v>3</v>
      </c>
      <c r="AN56" s="56"/>
      <c r="AO56" s="56"/>
      <c r="AP56" s="56"/>
      <c r="AQ56" s="56">
        <v>1</v>
      </c>
      <c r="AR56" s="56"/>
      <c r="AS56" s="56"/>
      <c r="AT56" s="56"/>
      <c r="AU56" s="56">
        <v>9</v>
      </c>
      <c r="AV56" s="56"/>
      <c r="AW56" s="56"/>
      <c r="AX56" s="56"/>
      <c r="AY56" s="56">
        <v>3</v>
      </c>
      <c r="AZ56" s="56"/>
      <c r="BA56" s="56"/>
      <c r="BB56" s="56"/>
      <c r="BC56" s="56">
        <v>9</v>
      </c>
      <c r="BD56" s="56"/>
      <c r="BE56" s="56"/>
      <c r="BF56" s="56"/>
      <c r="BG56" s="56">
        <v>0</v>
      </c>
      <c r="BH56" s="56"/>
      <c r="BI56" s="56"/>
      <c r="BJ56" s="56"/>
      <c r="BK56" s="56">
        <v>3</v>
      </c>
      <c r="BL56" s="56"/>
      <c r="BM56" s="56"/>
      <c r="BN56" s="56"/>
      <c r="BO56" s="56">
        <v>9</v>
      </c>
      <c r="BP56" s="56"/>
      <c r="BQ56" s="56"/>
      <c r="BR56" s="65"/>
    </row>
    <row r="57" spans="2:70" ht="45.95" customHeight="1" thickBot="1" x14ac:dyDescent="0.3">
      <c r="B57" s="24">
        <v>16</v>
      </c>
      <c r="C57" s="31">
        <f t="shared" si="0"/>
        <v>1.5625E-2</v>
      </c>
      <c r="D57" s="33">
        <v>1</v>
      </c>
      <c r="E57" s="78" t="s">
        <v>75</v>
      </c>
      <c r="F57" s="77"/>
      <c r="G57" s="81">
        <v>0</v>
      </c>
      <c r="H57" s="56"/>
      <c r="I57" s="56"/>
      <c r="J57" s="56"/>
      <c r="K57" s="63">
        <v>0</v>
      </c>
      <c r="L57" s="63"/>
      <c r="M57" s="63"/>
      <c r="N57" s="63"/>
      <c r="O57" s="63">
        <v>0</v>
      </c>
      <c r="P57" s="63"/>
      <c r="Q57" s="63"/>
      <c r="R57" s="63"/>
      <c r="S57" s="63">
        <v>9</v>
      </c>
      <c r="T57" s="63"/>
      <c r="U57" s="63"/>
      <c r="V57" s="63"/>
      <c r="W57" s="63">
        <v>0</v>
      </c>
      <c r="X57" s="63"/>
      <c r="Y57" s="63"/>
      <c r="Z57" s="63"/>
      <c r="AA57" s="63">
        <v>0</v>
      </c>
      <c r="AB57" s="63"/>
      <c r="AC57" s="63"/>
      <c r="AD57" s="63"/>
      <c r="AE57" s="63">
        <v>0</v>
      </c>
      <c r="AF57" s="63"/>
      <c r="AG57" s="63"/>
      <c r="AH57" s="63"/>
      <c r="AI57" s="63">
        <v>0</v>
      </c>
      <c r="AJ57" s="63"/>
      <c r="AK57" s="63"/>
      <c r="AL57" s="63"/>
      <c r="AM57" s="63">
        <v>0</v>
      </c>
      <c r="AN57" s="63"/>
      <c r="AO57" s="63"/>
      <c r="AP57" s="63"/>
      <c r="AQ57" s="63">
        <v>1</v>
      </c>
      <c r="AR57" s="63"/>
      <c r="AS57" s="63"/>
      <c r="AT57" s="63"/>
      <c r="AU57" s="63">
        <v>0</v>
      </c>
      <c r="AV57" s="63"/>
      <c r="AW57" s="63"/>
      <c r="AX57" s="63"/>
      <c r="AY57" s="63">
        <v>0</v>
      </c>
      <c r="AZ57" s="63"/>
      <c r="BA57" s="63"/>
      <c r="BB57" s="63"/>
      <c r="BC57" s="63">
        <v>0</v>
      </c>
      <c r="BD57" s="63"/>
      <c r="BE57" s="63"/>
      <c r="BF57" s="63"/>
      <c r="BG57" s="63">
        <v>9</v>
      </c>
      <c r="BH57" s="63"/>
      <c r="BI57" s="63"/>
      <c r="BJ57" s="63"/>
      <c r="BK57" s="63">
        <v>3</v>
      </c>
      <c r="BL57" s="63"/>
      <c r="BM57" s="63"/>
      <c r="BN57" s="63"/>
      <c r="BO57" s="63">
        <v>0</v>
      </c>
      <c r="BP57" s="63"/>
      <c r="BQ57" s="63"/>
      <c r="BR57" s="64"/>
    </row>
    <row r="58" spans="2:70" ht="39" customHeight="1" x14ac:dyDescent="0.25">
      <c r="E58" s="58" t="s">
        <v>28</v>
      </c>
      <c r="F58" s="58"/>
      <c r="G58" s="66">
        <f>SUM(G42:J57)</f>
        <v>64</v>
      </c>
      <c r="H58" s="67"/>
      <c r="I58" s="67"/>
      <c r="J58" s="68"/>
      <c r="K58" s="60">
        <f t="shared" ref="K58" si="1">SUM(K42:N57)</f>
        <v>44</v>
      </c>
      <c r="L58" s="61"/>
      <c r="M58" s="61"/>
      <c r="N58" s="62"/>
      <c r="O58" s="60">
        <f t="shared" ref="O58" si="2">SUM(O42:R57)</f>
        <v>53</v>
      </c>
      <c r="P58" s="61"/>
      <c r="Q58" s="61"/>
      <c r="R58" s="62"/>
      <c r="S58" s="60">
        <f t="shared" ref="S58" si="3">SUM(S42:V57)</f>
        <v>61</v>
      </c>
      <c r="T58" s="61"/>
      <c r="U58" s="61"/>
      <c r="V58" s="62"/>
      <c r="W58" s="60">
        <f t="shared" ref="W58" si="4">SUM(W42:Z57)</f>
        <v>43</v>
      </c>
      <c r="X58" s="61"/>
      <c r="Y58" s="61"/>
      <c r="Z58" s="62"/>
      <c r="AA58" s="60">
        <f t="shared" ref="AA58" si="5">SUM(AA42:AD57)</f>
        <v>32</v>
      </c>
      <c r="AB58" s="61"/>
      <c r="AC58" s="61"/>
      <c r="AD58" s="62"/>
      <c r="AE58" s="60">
        <f t="shared" ref="AE58" si="6">SUM(AE42:AH57)</f>
        <v>66</v>
      </c>
      <c r="AF58" s="61"/>
      <c r="AG58" s="61"/>
      <c r="AH58" s="62"/>
      <c r="AI58" s="60">
        <f t="shared" ref="AI58" si="7">SUM(AI42:AL57)</f>
        <v>73</v>
      </c>
      <c r="AJ58" s="61"/>
      <c r="AK58" s="61"/>
      <c r="AL58" s="62"/>
      <c r="AM58" s="60">
        <f t="shared" ref="AM58" si="8">SUM(AM42:AP57)</f>
        <v>38</v>
      </c>
      <c r="AN58" s="61"/>
      <c r="AO58" s="61"/>
      <c r="AP58" s="62"/>
      <c r="AQ58" s="60">
        <f t="shared" ref="AQ58" si="9">SUM(AQ42:AT57)</f>
        <v>75</v>
      </c>
      <c r="AR58" s="61"/>
      <c r="AS58" s="61"/>
      <c r="AT58" s="62"/>
      <c r="AU58" s="60">
        <f t="shared" ref="AU58" si="10">SUM(AU42:AX57)</f>
        <v>95</v>
      </c>
      <c r="AV58" s="61"/>
      <c r="AW58" s="61"/>
      <c r="AX58" s="62"/>
      <c r="AY58" s="60">
        <f t="shared" ref="AY58" si="11">SUM(AY42:BB57)</f>
        <v>43</v>
      </c>
      <c r="AZ58" s="61"/>
      <c r="BA58" s="61"/>
      <c r="BB58" s="62"/>
      <c r="BC58" s="60">
        <f t="shared" ref="BC58" si="12">SUM(BC42:BF57)</f>
        <v>63</v>
      </c>
      <c r="BD58" s="61"/>
      <c r="BE58" s="61"/>
      <c r="BF58" s="62"/>
      <c r="BG58" s="60">
        <f t="shared" ref="BG58" si="13">SUM(BG42:BJ57)</f>
        <v>20</v>
      </c>
      <c r="BH58" s="61"/>
      <c r="BI58" s="61"/>
      <c r="BJ58" s="62"/>
      <c r="BK58" s="60">
        <f t="shared" ref="BK58" si="14">SUM(BK42:BN57)</f>
        <v>49</v>
      </c>
      <c r="BL58" s="61"/>
      <c r="BM58" s="61"/>
      <c r="BN58" s="62"/>
      <c r="BO58" s="60">
        <f t="shared" ref="BO58" si="15">SUM(BO42:BR57)</f>
        <v>53</v>
      </c>
      <c r="BP58" s="61"/>
      <c r="BQ58" s="61"/>
      <c r="BR58" s="62"/>
    </row>
    <row r="59" spans="2:70" s="9" customFormat="1" ht="39" customHeight="1" x14ac:dyDescent="0.25">
      <c r="E59" s="59" t="s">
        <v>24</v>
      </c>
      <c r="F59" s="59"/>
      <c r="G59" s="101">
        <f>SUM(G58)/160</f>
        <v>0.4</v>
      </c>
      <c r="H59" s="102"/>
      <c r="I59" s="102"/>
      <c r="J59" s="103"/>
      <c r="K59" s="101">
        <f t="shared" ref="K59" si="16">SUM(K42:N57)/160</f>
        <v>0.27500000000000002</v>
      </c>
      <c r="L59" s="102"/>
      <c r="M59" s="102"/>
      <c r="N59" s="103"/>
      <c r="O59" s="101">
        <f t="shared" ref="O59" si="17">SUM(O42:R57)/160</f>
        <v>0.33124999999999999</v>
      </c>
      <c r="P59" s="102"/>
      <c r="Q59" s="102"/>
      <c r="R59" s="103"/>
      <c r="S59" s="101">
        <f t="shared" ref="S59" si="18">SUM(S42:V57)/160</f>
        <v>0.38124999999999998</v>
      </c>
      <c r="T59" s="102"/>
      <c r="U59" s="102"/>
      <c r="V59" s="103"/>
      <c r="W59" s="101">
        <f t="shared" ref="W59" si="19">SUM(W42:Z57)/160</f>
        <v>0.26874999999999999</v>
      </c>
      <c r="X59" s="102"/>
      <c r="Y59" s="102"/>
      <c r="Z59" s="103"/>
      <c r="AA59" s="101">
        <f t="shared" ref="AA59" si="20">SUM(AA42:AD57)/160</f>
        <v>0.2</v>
      </c>
      <c r="AB59" s="102"/>
      <c r="AC59" s="102"/>
      <c r="AD59" s="103"/>
      <c r="AE59" s="101">
        <f t="shared" ref="AE59" si="21">SUM(AE42:AH57)/160</f>
        <v>0.41249999999999998</v>
      </c>
      <c r="AF59" s="102"/>
      <c r="AG59" s="102"/>
      <c r="AH59" s="103"/>
      <c r="AI59" s="101">
        <f t="shared" ref="AI59" si="22">SUM(AI42:AL57)/160</f>
        <v>0.45624999999999999</v>
      </c>
      <c r="AJ59" s="102"/>
      <c r="AK59" s="102"/>
      <c r="AL59" s="103"/>
      <c r="AM59" s="101">
        <f t="shared" ref="AM59" si="23">SUM(AM42:AP57)/160</f>
        <v>0.23749999999999999</v>
      </c>
      <c r="AN59" s="102"/>
      <c r="AO59" s="102"/>
      <c r="AP59" s="103"/>
      <c r="AQ59" s="101">
        <f t="shared" ref="AQ59" si="24">SUM(AQ42:AT57)/160</f>
        <v>0.46875</v>
      </c>
      <c r="AR59" s="102"/>
      <c r="AS59" s="102"/>
      <c r="AT59" s="103"/>
      <c r="AU59" s="101">
        <f t="shared" ref="AU59" si="25">SUM(AU42:AX57)/160</f>
        <v>0.59375</v>
      </c>
      <c r="AV59" s="102"/>
      <c r="AW59" s="102"/>
      <c r="AX59" s="103"/>
      <c r="AY59" s="101">
        <f t="shared" ref="AY59" si="26">SUM(AY42:BB57)/160</f>
        <v>0.26874999999999999</v>
      </c>
      <c r="AZ59" s="102"/>
      <c r="BA59" s="102"/>
      <c r="BB59" s="103"/>
      <c r="BC59" s="101">
        <f t="shared" ref="BC59" si="27">SUM(BC42:BF57)/160</f>
        <v>0.39374999999999999</v>
      </c>
      <c r="BD59" s="102"/>
      <c r="BE59" s="102"/>
      <c r="BF59" s="103"/>
      <c r="BG59" s="101">
        <f t="shared" ref="BG59" si="28">SUM(BG42:BJ57)/160</f>
        <v>0.125</v>
      </c>
      <c r="BH59" s="102"/>
      <c r="BI59" s="102"/>
      <c r="BJ59" s="103"/>
      <c r="BK59" s="101">
        <f t="shared" ref="BK59" si="29">SUM(BK42:BN57)/160</f>
        <v>0.30625000000000002</v>
      </c>
      <c r="BL59" s="102"/>
      <c r="BM59" s="102"/>
      <c r="BN59" s="103"/>
      <c r="BO59" s="101">
        <f t="shared" ref="BO59" si="30">SUM(BO42:BR57)/160</f>
        <v>0.33124999999999999</v>
      </c>
      <c r="BP59" s="102"/>
      <c r="BQ59" s="102"/>
      <c r="BR59" s="103"/>
    </row>
    <row r="60" spans="2:70" ht="123.95" customHeight="1" x14ac:dyDescent="0.25">
      <c r="E60" s="58" t="s">
        <v>27</v>
      </c>
      <c r="F60" s="58"/>
      <c r="G60" s="105">
        <v>5</v>
      </c>
      <c r="H60" s="104"/>
      <c r="I60" s="104"/>
      <c r="J60" s="106"/>
      <c r="K60" s="108">
        <v>11</v>
      </c>
      <c r="L60" s="107"/>
      <c r="M60" s="107"/>
      <c r="N60" s="109"/>
      <c r="O60" s="108">
        <v>8</v>
      </c>
      <c r="P60" s="107"/>
      <c r="Q60" s="107"/>
      <c r="R60" s="36"/>
      <c r="S60" s="34"/>
      <c r="T60" s="107">
        <v>7</v>
      </c>
      <c r="U60" s="107"/>
      <c r="V60" s="36"/>
      <c r="W60" s="108">
        <v>12</v>
      </c>
      <c r="X60" s="107"/>
      <c r="Y60" s="107"/>
      <c r="Z60" s="109"/>
      <c r="AA60" s="108">
        <v>15</v>
      </c>
      <c r="AB60" s="107"/>
      <c r="AC60" s="107"/>
      <c r="AD60" s="109"/>
      <c r="AE60" s="108">
        <v>4</v>
      </c>
      <c r="AF60" s="107"/>
      <c r="AG60" s="107"/>
      <c r="AH60" s="109"/>
      <c r="AI60" s="108">
        <v>3</v>
      </c>
      <c r="AJ60" s="107"/>
      <c r="AK60" s="107"/>
      <c r="AL60" s="109"/>
      <c r="AM60" s="108">
        <v>14</v>
      </c>
      <c r="AN60" s="107"/>
      <c r="AO60" s="107"/>
      <c r="AP60" s="109"/>
      <c r="AQ60" s="108">
        <v>2</v>
      </c>
      <c r="AR60" s="107"/>
      <c r="AS60" s="107"/>
      <c r="AT60" s="109"/>
      <c r="AU60" s="108">
        <v>1</v>
      </c>
      <c r="AV60" s="107"/>
      <c r="AW60" s="107"/>
      <c r="AX60" s="109"/>
      <c r="AY60" s="34"/>
      <c r="AZ60" s="107">
        <v>13</v>
      </c>
      <c r="BA60" s="107"/>
      <c r="BB60" s="36"/>
      <c r="BC60" s="34"/>
      <c r="BD60" s="107">
        <v>6</v>
      </c>
      <c r="BE60" s="107"/>
      <c r="BF60" s="109"/>
      <c r="BG60" s="34"/>
      <c r="BH60" s="107">
        <v>16</v>
      </c>
      <c r="BI60" s="107"/>
      <c r="BJ60" s="109"/>
      <c r="BK60" s="108">
        <v>10</v>
      </c>
      <c r="BL60" s="107"/>
      <c r="BM60" s="107"/>
      <c r="BN60" s="109"/>
      <c r="BO60" s="34"/>
      <c r="BP60" s="107">
        <v>9</v>
      </c>
      <c r="BQ60" s="107"/>
      <c r="BR60" s="109"/>
    </row>
    <row r="68" spans="29:92" x14ac:dyDescent="0.25">
      <c r="AC68" s="34"/>
      <c r="AD68" s="35"/>
      <c r="AE68" s="35"/>
      <c r="AF68" s="36"/>
      <c r="AG68" s="34"/>
      <c r="AH68" s="35"/>
      <c r="AI68" s="35"/>
      <c r="AJ68" s="36"/>
      <c r="AK68" s="34"/>
      <c r="AL68" s="35"/>
      <c r="AM68" s="35"/>
      <c r="AN68" s="36"/>
      <c r="AO68" s="34"/>
      <c r="AP68" s="35"/>
      <c r="AQ68" s="35"/>
      <c r="AR68" s="36"/>
      <c r="AS68" s="34"/>
      <c r="AT68" s="35"/>
      <c r="AU68" s="35"/>
      <c r="AV68" s="36"/>
      <c r="AW68" s="34"/>
      <c r="AX68" s="35"/>
      <c r="AY68" s="35"/>
      <c r="AZ68" s="36"/>
      <c r="BA68" s="34"/>
      <c r="BB68" s="35"/>
      <c r="BC68" s="35"/>
      <c r="BD68" s="36"/>
      <c r="BE68" s="34"/>
      <c r="BF68" s="35"/>
      <c r="BG68" s="35"/>
      <c r="BH68" s="36"/>
      <c r="BI68" s="34"/>
      <c r="BJ68" s="35"/>
      <c r="BK68" s="35"/>
      <c r="BL68" s="36"/>
      <c r="BM68" s="34"/>
      <c r="BN68" s="35"/>
      <c r="BO68" s="35"/>
      <c r="BP68" s="36"/>
      <c r="BQ68" s="34"/>
      <c r="BR68" s="35"/>
      <c r="BS68" s="35"/>
      <c r="BT68" s="36"/>
      <c r="BU68" s="34"/>
      <c r="BV68" s="35"/>
      <c r="BW68" s="35"/>
      <c r="BX68" s="36"/>
      <c r="BY68" s="34"/>
      <c r="BZ68" s="35"/>
      <c r="CA68" s="35"/>
      <c r="CB68" s="36"/>
      <c r="CC68" s="34"/>
      <c r="CD68" s="35"/>
      <c r="CE68" s="35"/>
      <c r="CF68" s="36"/>
      <c r="CG68" s="34"/>
      <c r="CH68" s="35"/>
      <c r="CI68" s="35"/>
      <c r="CJ68" s="36"/>
      <c r="CK68" s="34"/>
      <c r="CL68" s="35"/>
      <c r="CM68" s="35"/>
      <c r="CN68" s="36"/>
    </row>
  </sheetData>
  <mergeCells count="534">
    <mergeCell ref="AQ60:AT60"/>
    <mergeCell ref="AU60:AX60"/>
    <mergeCell ref="AZ60:BA60"/>
    <mergeCell ref="BD60:BF60"/>
    <mergeCell ref="BH60:BJ60"/>
    <mergeCell ref="BK60:BN60"/>
    <mergeCell ref="BP60:BR60"/>
    <mergeCell ref="G60:J60"/>
    <mergeCell ref="K60:N60"/>
    <mergeCell ref="O60:Q60"/>
    <mergeCell ref="T60:U60"/>
    <mergeCell ref="W60:Z60"/>
    <mergeCell ref="AA60:AD60"/>
    <mergeCell ref="AE60:AH60"/>
    <mergeCell ref="AI60:AL60"/>
    <mergeCell ref="AM60:AP60"/>
    <mergeCell ref="B40:B41"/>
    <mergeCell ref="BK40:BN41"/>
    <mergeCell ref="BO40:BR41"/>
    <mergeCell ref="J34:K35"/>
    <mergeCell ref="L32:M33"/>
    <mergeCell ref="N30:O31"/>
    <mergeCell ref="N34:O35"/>
    <mergeCell ref="P32:Q33"/>
    <mergeCell ref="R34:S35"/>
    <mergeCell ref="V34:W35"/>
    <mergeCell ref="T32:U33"/>
    <mergeCell ref="BG40:BJ41"/>
    <mergeCell ref="BC37:BF37"/>
    <mergeCell ref="BL32:BM33"/>
    <mergeCell ref="BN34:BO35"/>
    <mergeCell ref="AH30:AI31"/>
    <mergeCell ref="AL30:AM31"/>
    <mergeCell ref="AP30:AQ31"/>
    <mergeCell ref="AT30:AU31"/>
    <mergeCell ref="AX30:AY31"/>
    <mergeCell ref="AZ32:BA33"/>
    <mergeCell ref="AV32:AW33"/>
    <mergeCell ref="BF34:BG35"/>
    <mergeCell ref="BB34:BC35"/>
    <mergeCell ref="T24:U25"/>
    <mergeCell ref="X24:Y25"/>
    <mergeCell ref="AB24:AC25"/>
    <mergeCell ref="AF24:AG25"/>
    <mergeCell ref="R26:S27"/>
    <mergeCell ref="V26:W27"/>
    <mergeCell ref="Z26:AA27"/>
    <mergeCell ref="R30:S31"/>
    <mergeCell ref="BF26:BG27"/>
    <mergeCell ref="AT26:AU27"/>
    <mergeCell ref="AX26:AY27"/>
    <mergeCell ref="AN24:AO25"/>
    <mergeCell ref="AR24:AS25"/>
    <mergeCell ref="P28:Q29"/>
    <mergeCell ref="T28:U29"/>
    <mergeCell ref="X28:Y29"/>
    <mergeCell ref="V30:W31"/>
    <mergeCell ref="Z30:AA31"/>
    <mergeCell ref="AD30:AE31"/>
    <mergeCell ref="AR12:AS13"/>
    <mergeCell ref="AD14:AE15"/>
    <mergeCell ref="AH14:AI15"/>
    <mergeCell ref="AL14:AM15"/>
    <mergeCell ref="AB16:AC17"/>
    <mergeCell ref="AF16:AG17"/>
    <mergeCell ref="AJ16:AK17"/>
    <mergeCell ref="AN16:AO17"/>
    <mergeCell ref="AR16:AS17"/>
    <mergeCell ref="AF12:AG13"/>
    <mergeCell ref="AJ12:AK13"/>
    <mergeCell ref="V22:W23"/>
    <mergeCell ref="Z22:AA23"/>
    <mergeCell ref="AD22:AE23"/>
    <mergeCell ref="AJ24:AK25"/>
    <mergeCell ref="AH26:AI27"/>
    <mergeCell ref="AL26:AM27"/>
    <mergeCell ref="AP26:AQ27"/>
    <mergeCell ref="AL6:AM7"/>
    <mergeCell ref="AN8:AO9"/>
    <mergeCell ref="AL10:AM11"/>
    <mergeCell ref="AP10:AQ11"/>
    <mergeCell ref="AJ8:AK9"/>
    <mergeCell ref="AL18:AM19"/>
    <mergeCell ref="X20:Y21"/>
    <mergeCell ref="AB20:AC21"/>
    <mergeCell ref="AF20:AG21"/>
    <mergeCell ref="AH10:AI11"/>
    <mergeCell ref="AN12:AO13"/>
    <mergeCell ref="Z18:AA19"/>
    <mergeCell ref="AD18:AE19"/>
    <mergeCell ref="AH18:AI19"/>
    <mergeCell ref="BJ34:BK35"/>
    <mergeCell ref="BH28:BI29"/>
    <mergeCell ref="BD32:BE33"/>
    <mergeCell ref="AF32:AG33"/>
    <mergeCell ref="AP34:AQ35"/>
    <mergeCell ref="AR32:AS33"/>
    <mergeCell ref="AX34:AY35"/>
    <mergeCell ref="AT34:AU35"/>
    <mergeCell ref="AL34:AM35"/>
    <mergeCell ref="AH34:AI35"/>
    <mergeCell ref="AN32:AO33"/>
    <mergeCell ref="AJ32:AK33"/>
    <mergeCell ref="BB30:BC31"/>
    <mergeCell ref="BF30:BG31"/>
    <mergeCell ref="BJ30:BK31"/>
    <mergeCell ref="AF28:AG29"/>
    <mergeCell ref="AJ28:AK29"/>
    <mergeCell ref="AN28:AO29"/>
    <mergeCell ref="AR28:AS29"/>
    <mergeCell ref="AV28:AW29"/>
    <mergeCell ref="AZ28:BA29"/>
    <mergeCell ref="BD28:BE29"/>
    <mergeCell ref="BH32:BI33"/>
    <mergeCell ref="AL22:AM23"/>
    <mergeCell ref="AP22:AQ23"/>
    <mergeCell ref="AB32:AC33"/>
    <mergeCell ref="X32:Y33"/>
    <mergeCell ref="AD26:AE27"/>
    <mergeCell ref="AJ20:AK21"/>
    <mergeCell ref="Z34:AA35"/>
    <mergeCell ref="AH22:AI23"/>
    <mergeCell ref="AB28:AC29"/>
    <mergeCell ref="AD34:AE35"/>
    <mergeCell ref="AN20:AO21"/>
    <mergeCell ref="AQ40:AT41"/>
    <mergeCell ref="AE38:AH38"/>
    <mergeCell ref="AI38:AL38"/>
    <mergeCell ref="AU40:AX41"/>
    <mergeCell ref="AY40:BB41"/>
    <mergeCell ref="BC40:BF41"/>
    <mergeCell ref="AV16:AW17"/>
    <mergeCell ref="AP14:AQ15"/>
    <mergeCell ref="AT14:AU15"/>
    <mergeCell ref="AV20:AW21"/>
    <mergeCell ref="AZ20:BA21"/>
    <mergeCell ref="AP18:AQ19"/>
    <mergeCell ref="AT18:AU19"/>
    <mergeCell ref="AX18:AY19"/>
    <mergeCell ref="AV24:AW25"/>
    <mergeCell ref="AZ24:BA25"/>
    <mergeCell ref="BD24:BE25"/>
    <mergeCell ref="AT22:AU23"/>
    <mergeCell ref="AX22:AY23"/>
    <mergeCell ref="BB22:BC23"/>
    <mergeCell ref="AU37:AX37"/>
    <mergeCell ref="AY37:BB37"/>
    <mergeCell ref="AM38:AP38"/>
    <mergeCell ref="AY38:BB38"/>
    <mergeCell ref="AR20:AS21"/>
    <mergeCell ref="BB26:BC27"/>
    <mergeCell ref="E53:F53"/>
    <mergeCell ref="E42:F42"/>
    <mergeCell ref="E43:F43"/>
    <mergeCell ref="E44:F44"/>
    <mergeCell ref="E45:F45"/>
    <mergeCell ref="E46:F46"/>
    <mergeCell ref="E47:F47"/>
    <mergeCell ref="AI40:AL41"/>
    <mergeCell ref="AM40:AP41"/>
    <mergeCell ref="G40:J41"/>
    <mergeCell ref="K40:N41"/>
    <mergeCell ref="O40:R41"/>
    <mergeCell ref="S40:V41"/>
    <mergeCell ref="W40:Z41"/>
    <mergeCell ref="AA40:AD41"/>
    <mergeCell ref="AE40:AH41"/>
    <mergeCell ref="G44:J44"/>
    <mergeCell ref="G45:J45"/>
    <mergeCell ref="G46:J46"/>
    <mergeCell ref="G47:J47"/>
    <mergeCell ref="E48:F48"/>
    <mergeCell ref="E49:F49"/>
    <mergeCell ref="E50:F50"/>
    <mergeCell ref="E51:F51"/>
    <mergeCell ref="E52:F52"/>
    <mergeCell ref="AI42:AL42"/>
    <mergeCell ref="AM42:AP42"/>
    <mergeCell ref="G54:J54"/>
    <mergeCell ref="G55:J55"/>
    <mergeCell ref="G56:J56"/>
    <mergeCell ref="G57:J57"/>
    <mergeCell ref="K42:N42"/>
    <mergeCell ref="O42:R42"/>
    <mergeCell ref="K44:N44"/>
    <mergeCell ref="O44:R44"/>
    <mergeCell ref="K46:N46"/>
    <mergeCell ref="O46:R46"/>
    <mergeCell ref="G48:J48"/>
    <mergeCell ref="G49:J49"/>
    <mergeCell ref="G50:J50"/>
    <mergeCell ref="G51:J51"/>
    <mergeCell ref="G52:J52"/>
    <mergeCell ref="G53:J53"/>
    <mergeCell ref="AA46:AD46"/>
    <mergeCell ref="AE46:AH46"/>
    <mergeCell ref="AI46:AL46"/>
    <mergeCell ref="G42:J42"/>
    <mergeCell ref="G43:J43"/>
    <mergeCell ref="AU43:AX43"/>
    <mergeCell ref="AY43:BB43"/>
    <mergeCell ref="BC43:BF43"/>
    <mergeCell ref="BG43:BJ43"/>
    <mergeCell ref="BK43:BN43"/>
    <mergeCell ref="BO43:BR43"/>
    <mergeCell ref="BO42:BR42"/>
    <mergeCell ref="K43:N43"/>
    <mergeCell ref="O43:R43"/>
    <mergeCell ref="S43:V43"/>
    <mergeCell ref="W43:Z43"/>
    <mergeCell ref="AA43:AD43"/>
    <mergeCell ref="AE43:AH43"/>
    <mergeCell ref="AI43:AL43"/>
    <mergeCell ref="AM43:AP43"/>
    <mergeCell ref="AQ43:AT43"/>
    <mergeCell ref="AQ42:AT42"/>
    <mergeCell ref="AU42:AX42"/>
    <mergeCell ref="AY42:BB42"/>
    <mergeCell ref="BC42:BF42"/>
    <mergeCell ref="BG42:BJ42"/>
    <mergeCell ref="BK42:BN42"/>
    <mergeCell ref="BO44:BR44"/>
    <mergeCell ref="K45:N45"/>
    <mergeCell ref="O45:R45"/>
    <mergeCell ref="S45:V45"/>
    <mergeCell ref="W45:Z45"/>
    <mergeCell ref="AA45:AD45"/>
    <mergeCell ref="AE45:AH45"/>
    <mergeCell ref="AI45:AL45"/>
    <mergeCell ref="AM45:AP45"/>
    <mergeCell ref="AQ45:AT45"/>
    <mergeCell ref="AQ44:AT44"/>
    <mergeCell ref="AU44:AX44"/>
    <mergeCell ref="AY44:BB44"/>
    <mergeCell ref="BC44:BF44"/>
    <mergeCell ref="BG44:BJ44"/>
    <mergeCell ref="BK44:BN44"/>
    <mergeCell ref="S44:V44"/>
    <mergeCell ref="W44:Z44"/>
    <mergeCell ref="AA44:AD44"/>
    <mergeCell ref="AE44:AH44"/>
    <mergeCell ref="AI44:AL44"/>
    <mergeCell ref="AU45:AX45"/>
    <mergeCell ref="AY45:BB45"/>
    <mergeCell ref="BC45:BF45"/>
    <mergeCell ref="BG45:BJ45"/>
    <mergeCell ref="BK45:BN45"/>
    <mergeCell ref="AU47:AX47"/>
    <mergeCell ref="AY47:BB47"/>
    <mergeCell ref="BC47:BF47"/>
    <mergeCell ref="BG47:BJ47"/>
    <mergeCell ref="BK47:BN47"/>
    <mergeCell ref="BO47:BR47"/>
    <mergeCell ref="BO46:BR46"/>
    <mergeCell ref="BO45:BR45"/>
    <mergeCell ref="K47:N47"/>
    <mergeCell ref="O47:R47"/>
    <mergeCell ref="S47:V47"/>
    <mergeCell ref="W47:Z47"/>
    <mergeCell ref="AA47:AD47"/>
    <mergeCell ref="AE47:AH47"/>
    <mergeCell ref="AI47:AL47"/>
    <mergeCell ref="AM47:AP47"/>
    <mergeCell ref="AQ47:AT47"/>
    <mergeCell ref="AQ46:AT46"/>
    <mergeCell ref="AU46:AX46"/>
    <mergeCell ref="AY46:BB46"/>
    <mergeCell ref="BC46:BF46"/>
    <mergeCell ref="BG46:BJ46"/>
    <mergeCell ref="BK46:BN46"/>
    <mergeCell ref="S46:V46"/>
    <mergeCell ref="W46:Z46"/>
    <mergeCell ref="AM46:AP46"/>
    <mergeCell ref="K49:N49"/>
    <mergeCell ref="O49:R49"/>
    <mergeCell ref="S49:V49"/>
    <mergeCell ref="W49:Z49"/>
    <mergeCell ref="AA49:AD49"/>
    <mergeCell ref="AE49:AH49"/>
    <mergeCell ref="AI49:AL49"/>
    <mergeCell ref="AI48:AL48"/>
    <mergeCell ref="AM48:AP48"/>
    <mergeCell ref="K48:N48"/>
    <mergeCell ref="O48:R48"/>
    <mergeCell ref="S48:V48"/>
    <mergeCell ref="W48:Z48"/>
    <mergeCell ref="AA48:AD48"/>
    <mergeCell ref="AM49:AP49"/>
    <mergeCell ref="AU49:AX49"/>
    <mergeCell ref="AY49:BB49"/>
    <mergeCell ref="BG50:BJ50"/>
    <mergeCell ref="BK50:BN50"/>
    <mergeCell ref="BG48:BJ48"/>
    <mergeCell ref="BK48:BN48"/>
    <mergeCell ref="BO48:BR48"/>
    <mergeCell ref="AQ48:AT48"/>
    <mergeCell ref="AU48:AX48"/>
    <mergeCell ref="AY48:BB48"/>
    <mergeCell ref="BC48:BF48"/>
    <mergeCell ref="BK49:BN49"/>
    <mergeCell ref="BO49:BR49"/>
    <mergeCell ref="AQ49:AT49"/>
    <mergeCell ref="BC49:BF49"/>
    <mergeCell ref="AQ50:AT50"/>
    <mergeCell ref="AU50:AX50"/>
    <mergeCell ref="AY50:BB50"/>
    <mergeCell ref="BC50:BF50"/>
    <mergeCell ref="BG49:BJ49"/>
    <mergeCell ref="BO52:BR52"/>
    <mergeCell ref="AQ52:AT52"/>
    <mergeCell ref="AU52:AX52"/>
    <mergeCell ref="AY52:BB52"/>
    <mergeCell ref="BC52:BF52"/>
    <mergeCell ref="BO51:BR51"/>
    <mergeCell ref="BO50:BR50"/>
    <mergeCell ref="AI50:AL50"/>
    <mergeCell ref="AM50:AP50"/>
    <mergeCell ref="AM51:AP51"/>
    <mergeCell ref="AQ51:AT51"/>
    <mergeCell ref="BK51:BN51"/>
    <mergeCell ref="AU51:AX51"/>
    <mergeCell ref="AY51:BB51"/>
    <mergeCell ref="BC51:BF51"/>
    <mergeCell ref="BG51:BJ51"/>
    <mergeCell ref="BG52:BJ52"/>
    <mergeCell ref="BK52:BN52"/>
    <mergeCell ref="K50:N50"/>
    <mergeCell ref="O50:R50"/>
    <mergeCell ref="S50:V50"/>
    <mergeCell ref="W50:Z50"/>
    <mergeCell ref="AA50:AD50"/>
    <mergeCell ref="AE50:AH50"/>
    <mergeCell ref="O51:R51"/>
    <mergeCell ref="S51:V51"/>
    <mergeCell ref="W51:Z51"/>
    <mergeCell ref="AA51:AD51"/>
    <mergeCell ref="AE51:AH51"/>
    <mergeCell ref="BK53:BN53"/>
    <mergeCell ref="BO53:BR53"/>
    <mergeCell ref="K54:N54"/>
    <mergeCell ref="O54:R54"/>
    <mergeCell ref="S54:V54"/>
    <mergeCell ref="W54:Z54"/>
    <mergeCell ref="AA54:AD54"/>
    <mergeCell ref="AE54:AH54"/>
    <mergeCell ref="AI54:AL54"/>
    <mergeCell ref="AM54:AP54"/>
    <mergeCell ref="AM53:AP53"/>
    <mergeCell ref="AQ53:AT53"/>
    <mergeCell ref="AU53:AX53"/>
    <mergeCell ref="AY53:BB53"/>
    <mergeCell ref="BC53:BF53"/>
    <mergeCell ref="BG53:BJ53"/>
    <mergeCell ref="BO54:BR54"/>
    <mergeCell ref="K53:N53"/>
    <mergeCell ref="O53:R53"/>
    <mergeCell ref="AQ54:AT54"/>
    <mergeCell ref="S53:V53"/>
    <mergeCell ref="W53:Z53"/>
    <mergeCell ref="AA53:AD53"/>
    <mergeCell ref="AE53:AH53"/>
    <mergeCell ref="D40:D41"/>
    <mergeCell ref="C40:C41"/>
    <mergeCell ref="AM57:AP57"/>
    <mergeCell ref="AQ57:AT57"/>
    <mergeCell ref="AU57:AX57"/>
    <mergeCell ref="AY57:BB57"/>
    <mergeCell ref="BC57:BF57"/>
    <mergeCell ref="K57:N57"/>
    <mergeCell ref="O57:R57"/>
    <mergeCell ref="S57:V57"/>
    <mergeCell ref="W57:Z57"/>
    <mergeCell ref="AA57:AD57"/>
    <mergeCell ref="AE57:AH57"/>
    <mergeCell ref="AI57:AL57"/>
    <mergeCell ref="AI56:AL56"/>
    <mergeCell ref="AM56:AP56"/>
    <mergeCell ref="AQ56:AT56"/>
    <mergeCell ref="AU56:AX56"/>
    <mergeCell ref="E57:F57"/>
    <mergeCell ref="AU54:AX54"/>
    <mergeCell ref="AY54:BB54"/>
    <mergeCell ref="BC54:BF54"/>
    <mergeCell ref="K52:N52"/>
    <mergeCell ref="O52:R52"/>
    <mergeCell ref="E56:F56"/>
    <mergeCell ref="K56:N56"/>
    <mergeCell ref="O56:R56"/>
    <mergeCell ref="K55:N55"/>
    <mergeCell ref="O55:R55"/>
    <mergeCell ref="S55:V55"/>
    <mergeCell ref="W55:Z55"/>
    <mergeCell ref="AA55:AD55"/>
    <mergeCell ref="AE55:AH55"/>
    <mergeCell ref="AU55:AX55"/>
    <mergeCell ref="AY55:BB55"/>
    <mergeCell ref="BC55:BF55"/>
    <mergeCell ref="BG55:BJ55"/>
    <mergeCell ref="BK55:BN55"/>
    <mergeCell ref="BO55:BR55"/>
    <mergeCell ref="E37:F37"/>
    <mergeCell ref="G37:J37"/>
    <mergeCell ref="G38:J38"/>
    <mergeCell ref="K37:N37"/>
    <mergeCell ref="O37:R37"/>
    <mergeCell ref="AE48:AH48"/>
    <mergeCell ref="AA42:AD42"/>
    <mergeCell ref="AE42:AH42"/>
    <mergeCell ref="E54:F54"/>
    <mergeCell ref="E55:F55"/>
    <mergeCell ref="K51:N51"/>
    <mergeCell ref="BO38:BR38"/>
    <mergeCell ref="AQ38:AT38"/>
    <mergeCell ref="AU38:AX38"/>
    <mergeCell ref="E38:F38"/>
    <mergeCell ref="E39:F39"/>
    <mergeCell ref="BG54:BJ54"/>
    <mergeCell ref="BK54:BN54"/>
    <mergeCell ref="BC38:BF38"/>
    <mergeCell ref="BG38:BJ38"/>
    <mergeCell ref="BK38:BN38"/>
    <mergeCell ref="BG37:BJ37"/>
    <mergeCell ref="BK37:BN37"/>
    <mergeCell ref="BO37:BR37"/>
    <mergeCell ref="K38:N38"/>
    <mergeCell ref="O38:R38"/>
    <mergeCell ref="S38:V38"/>
    <mergeCell ref="W38:Z38"/>
    <mergeCell ref="AA38:AD38"/>
    <mergeCell ref="AA37:AD37"/>
    <mergeCell ref="AE37:AH37"/>
    <mergeCell ref="AI37:AL37"/>
    <mergeCell ref="AM37:AP37"/>
    <mergeCell ref="AQ37:AT37"/>
    <mergeCell ref="AI55:AL55"/>
    <mergeCell ref="AM55:AP55"/>
    <mergeCell ref="AQ55:AT55"/>
    <mergeCell ref="AI58:AL58"/>
    <mergeCell ref="AM58:AP58"/>
    <mergeCell ref="G58:J58"/>
    <mergeCell ref="K58:N58"/>
    <mergeCell ref="O58:R58"/>
    <mergeCell ref="S58:V58"/>
    <mergeCell ref="W58:Z58"/>
    <mergeCell ref="AA58:AD58"/>
    <mergeCell ref="AE58:AH58"/>
    <mergeCell ref="S56:V56"/>
    <mergeCell ref="W56:Z56"/>
    <mergeCell ref="AA56:AD56"/>
    <mergeCell ref="AE56:AH56"/>
    <mergeCell ref="AY58:BB58"/>
    <mergeCell ref="AY56:BB56"/>
    <mergeCell ref="BC56:BF56"/>
    <mergeCell ref="BC58:BF58"/>
    <mergeCell ref="BK57:BN57"/>
    <mergeCell ref="BO57:BR57"/>
    <mergeCell ref="BG57:BJ57"/>
    <mergeCell ref="BG56:BJ56"/>
    <mergeCell ref="BK56:BN56"/>
    <mergeCell ref="BO56:BR56"/>
    <mergeCell ref="E58:F58"/>
    <mergeCell ref="E60:F60"/>
    <mergeCell ref="E59:F59"/>
    <mergeCell ref="BG59:BJ59"/>
    <mergeCell ref="BK59:BN59"/>
    <mergeCell ref="BO59:BR59"/>
    <mergeCell ref="BC59:BF59"/>
    <mergeCell ref="G59:J59"/>
    <mergeCell ref="K59:N59"/>
    <mergeCell ref="O59:R59"/>
    <mergeCell ref="S59:V59"/>
    <mergeCell ref="W59:Z59"/>
    <mergeCell ref="AA59:AD59"/>
    <mergeCell ref="AE59:AH59"/>
    <mergeCell ref="AI59:AL59"/>
    <mergeCell ref="AM59:AP59"/>
    <mergeCell ref="AQ59:AT59"/>
    <mergeCell ref="AU59:AX59"/>
    <mergeCell ref="AY59:BB59"/>
    <mergeCell ref="BG58:BJ58"/>
    <mergeCell ref="BK58:BN58"/>
    <mergeCell ref="BO58:BR58"/>
    <mergeCell ref="AQ58:AT58"/>
    <mergeCell ref="AU58:AX58"/>
    <mergeCell ref="AI53:AL53"/>
    <mergeCell ref="AI52:AL52"/>
    <mergeCell ref="AM52:AP52"/>
    <mergeCell ref="W42:Z42"/>
    <mergeCell ref="AI51:AL51"/>
    <mergeCell ref="S52:V52"/>
    <mergeCell ref="W52:Z52"/>
    <mergeCell ref="AA52:AD52"/>
    <mergeCell ref="AE52:AH52"/>
    <mergeCell ref="AM44:AP44"/>
    <mergeCell ref="S42:V42"/>
    <mergeCell ref="BV9:BY10"/>
    <mergeCell ref="BV11:BX12"/>
    <mergeCell ref="BY11:BY12"/>
    <mergeCell ref="BV13:BX14"/>
    <mergeCell ref="BY13:BY14"/>
    <mergeCell ref="BV15:BX16"/>
    <mergeCell ref="BY15:BY16"/>
    <mergeCell ref="BV27:BY28"/>
    <mergeCell ref="BV18:BY19"/>
    <mergeCell ref="BV20:BX21"/>
    <mergeCell ref="BY20:BY21"/>
    <mergeCell ref="BV22:BX23"/>
    <mergeCell ref="BY22:BY23"/>
    <mergeCell ref="BV24:BX25"/>
    <mergeCell ref="BY24:BY25"/>
    <mergeCell ref="BY29:BY30"/>
    <mergeCell ref="BY31:BY32"/>
    <mergeCell ref="BY33:BY34"/>
    <mergeCell ref="BV29:BX30"/>
    <mergeCell ref="BV31:BX32"/>
    <mergeCell ref="BV33:BX34"/>
    <mergeCell ref="G39:J39"/>
    <mergeCell ref="K39:N39"/>
    <mergeCell ref="O39:R39"/>
    <mergeCell ref="S39:V39"/>
    <mergeCell ref="W39:Z39"/>
    <mergeCell ref="AA39:AD39"/>
    <mergeCell ref="AE39:AH39"/>
    <mergeCell ref="AI39:AL39"/>
    <mergeCell ref="AM39:AP39"/>
    <mergeCell ref="AQ39:AT39"/>
    <mergeCell ref="AU39:AX39"/>
    <mergeCell ref="AY39:BB39"/>
    <mergeCell ref="BC39:BF39"/>
    <mergeCell ref="BG39:BJ39"/>
    <mergeCell ref="BK39:BN39"/>
    <mergeCell ref="BO39:BR39"/>
    <mergeCell ref="S37:V37"/>
    <mergeCell ref="W37:Z37"/>
  </mergeCells>
  <conditionalFormatting sqref="AL6:AM7 AJ8:AO9 AH10:AQ11 AF12:AS13 AD14:AU15 AB16:AW17 Z18:AY19 X20:BA21 V22:BC23 T24:BE25 R26:BG27 P28:BI29 N30:BK31 L32:BM33 J34:BO35">
    <cfRule type="cellIs" dxfId="0" priority="3" operator="equal">
      <formula>$BY$13</formula>
    </cfRule>
  </conditionalFormatting>
  <dataValidations count="5">
    <dataValidation type="whole" allowBlank="1" showInputMessage="1" showErrorMessage="1" sqref="D51:D57" xr:uid="{9456DCFB-E31C-456B-B0AB-5511DFE143BC}">
      <formula1>0</formula1>
      <formula2>5</formula2>
    </dataValidation>
    <dataValidation type="list" allowBlank="1" showInputMessage="1" showErrorMessage="1" sqref="D42:D50" xr:uid="{EF6E3B00-8CA0-4D74-93F4-2B2D5E280495}">
      <formula1>"0,1,2,3,4,5"</formula1>
    </dataValidation>
    <dataValidation type="list" allowBlank="1" showInputMessage="1" showErrorMessage="1" sqref="E36" xr:uid="{00000000-0002-0000-0000-000000000000}">
      <formula1>#REF!</formula1>
    </dataValidation>
    <dataValidation type="list" allowBlank="1" showInputMessage="1" showErrorMessage="1" sqref="AN20:AO21 AL6:AM7 AL10:AM11 AP10:AQ11 AN12:AO13 AJ12:AK13 AP14:AQ15 AL14:AM15 AF16:AG17 AV16:AW17 AR16:AS17 AN16:AO17 AX18:AY19 AT18:AU19 AP18:AQ19 AZ20:BA21 AV20:AW21 AR20:AS21 AP22:AQ23 AL22:AM23 AH22:AI23 AD22:AE23 Z22:AA23 BB22:BC23 AX22:AY23 AV24:AW25 AR24:AS25 AN24:AO25 AJ24:AK25 AF24:AG25 AD26:AE27 Z26:AA27 V26:W27 BF26:BG27 BB26:BC27 AX26:AY27 AT26:AU27 AP26:AQ27 AN28:AO29 AJ28:AK29 AF28:AG29 AB28:AC29 X28:Y29 BH28:BI29 BD28:BE29 BB30:BC31 AX30:AY31 AT30:AU31 AP30:AQ31 AL30:AM31 AH30:AI31 AD30:AE31 Z30:AA31 BN34:BO35 BR34:BR35 AJ20:AK21 AB20:AC21 AZ24:BA25 BJ34:BK35 BL32:BM33 BF34:BG35 BH32:BI33 BB34:BC35 BD32:BE33 AT34:AU35 AX34:AY35 AZ32:BA33 AV32:AW33 AL34:AM35 AP34:AQ35 AR32:AS33 AN32:AO33 AD34:AE35 AH34:AI35 AJ32:AK33 AF32:AG33 X32:Y33 V34:W35 AT22:AU23 AZ28:BA29 Z34:AA35 J34:K35 AH10:AI11 AL26:AM27 AH26:AI27 T24:U25 AV28:AW29 T28:U29 AR28:AS29 BJ30:BK31 BF30:BG31 R26:S27 P28:Q29 AB32:AC33 N30:O31 L32:M33 T32:U33 R30:S31 N34:O35 V30:W31 V22:W23 P32:Q33 X24:Y25 AT14:AU15 R34:S35 AR12:AS13 AN8:AO9 AF12:AG13 AJ16:AK17 AL18:AM19 AH14:AI15 AH18:AI19 AJ8:AK9 AD14:AE15 AB16:AC17 AB24:AC25 Z18:AA19 X20:Y21 AF20:AG21 AD18:AE19 BD24:BE25" xr:uid="{00000000-0002-0000-0000-000001000000}">
      <formula1>$BY$11:$BY$13</formula1>
    </dataValidation>
    <dataValidation type="list" allowBlank="1" showInputMessage="1" showErrorMessage="1" sqref="G38:BR38" xr:uid="{00000000-0002-0000-0000-000002000000}">
      <formula1>$BY$29:$BY$33</formula1>
    </dataValidation>
  </dataValidations>
  <printOptions horizontalCentered="1" verticalCentered="1"/>
  <pageMargins left="0.5" right="0.5" top="0.5" bottom="0.5" header="0" footer="0"/>
  <pageSetup scale="3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07ED546D32C4DBCC9F998C582D18D" ma:contentTypeVersion="18" ma:contentTypeDescription="Crear nuevo documento." ma:contentTypeScope="" ma:versionID="374231bf1bc44a0d8547a8673f78df8c">
  <xsd:schema xmlns:xsd="http://www.w3.org/2001/XMLSchema" xmlns:xs="http://www.w3.org/2001/XMLSchema" xmlns:p="http://schemas.microsoft.com/office/2006/metadata/properties" xmlns:ns2="dfebae2e-e3f6-4778-b8c6-7a57055fbb0d" xmlns:ns3="722f2e34-cd87-419f-92bc-2e0b94254316" targetNamespace="http://schemas.microsoft.com/office/2006/metadata/properties" ma:root="true" ma:fieldsID="57231690b2047ae9548820c1c3b05de6" ns2:_="" ns3:_="">
    <xsd:import namespace="dfebae2e-e3f6-4778-b8c6-7a57055fbb0d"/>
    <xsd:import namespace="722f2e34-cd87-419f-92bc-2e0b942543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ebae2e-e3f6-4778-b8c6-7a57055fb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2093fb0a-f3be-4120-808e-fc0c80b8c9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2f2e34-cd87-419f-92bc-2e0b9425431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443293f-2b0c-4110-b7e8-fade87c8e8a1}" ma:internalName="TaxCatchAll" ma:showField="CatchAllData" ma:web="722f2e34-cd87-419f-92bc-2e0b942543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ebae2e-e3f6-4778-b8c6-7a57055fbb0d">
      <Terms xmlns="http://schemas.microsoft.com/office/infopath/2007/PartnerControls"/>
    </lcf76f155ced4ddcb4097134ff3c332f>
    <TaxCatchAll xmlns="722f2e34-cd87-419f-92bc-2e0b942543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AD64DB-7B9B-4835-9B4F-5ECA018B68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ebae2e-e3f6-4778-b8c6-7a57055fbb0d"/>
    <ds:schemaRef ds:uri="722f2e34-cd87-419f-92bc-2e0b942543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FD9DFF-BE55-4E54-BC39-800CF15B8F9B}">
  <ds:schemaRefs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722f2e34-cd87-419f-92bc-2e0b94254316"/>
    <ds:schemaRef ds:uri="http://schemas.microsoft.com/office/infopath/2007/PartnerControls"/>
    <ds:schemaRef ds:uri="dfebae2e-e3f6-4778-b8c6-7a57055fbb0d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EF41F57-ECA5-4CFE-84CE-B030D5F97C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House of Quality</vt:lpstr>
    </vt:vector>
  </TitlesOfParts>
  <Manager/>
  <Company>Start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mateo tabares</dc:creator>
  <cp:keywords/>
  <dc:description/>
  <cp:lastModifiedBy>VALERIE GISSEL SANTOS MONDRAGON</cp:lastModifiedBy>
  <cp:revision/>
  <dcterms:created xsi:type="dcterms:W3CDTF">2010-04-21T17:36:06Z</dcterms:created>
  <dcterms:modified xsi:type="dcterms:W3CDTF">2026-02-15T22:14:04Z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0x010100B0807ED546D32C4DBCC9F998C582D18D</vt:lpwstr>
  </property>
  <property fmtid="{D5CDD505-2E9C-101B-9397-08002B2CF9AE}" pid="3" name="MediaServiceImageTags">
    <vt:lpwstr/>
  </property>
</Properties>
</file>